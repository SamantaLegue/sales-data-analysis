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d.docs.live.net/b8a3d0a14dd55ca7/Music/Photoshop work/My python projects/My python projects/"/>
    </mc:Choice>
  </mc:AlternateContent>
  <xr:revisionPtr revIDLastSave="31" documentId="14_{A2AD43EB-BFCD-4672-87F8-056BFDBD7C22}" xr6:coauthVersionLast="47" xr6:coauthVersionMax="47" xr10:uidLastSave="{EB1A80DC-9938-4A0C-B7F5-CF0ED2A93A00}"/>
  <bookViews>
    <workbookView xWindow="-108" yWindow="-108" windowWidth="23256" windowHeight="12456" activeTab="2" xr2:uid="{00000000-000D-0000-FFFF-FFFF00000000}"/>
  </bookViews>
  <sheets>
    <sheet name="Pivot Table" sheetId="5" r:id="rId1"/>
    <sheet name="PIVOT 2" sheetId="7" r:id="rId2"/>
    <sheet name="Sales Reports" sheetId="6" r:id="rId3"/>
    <sheet name="Conditional Formating" sheetId="1" r:id="rId4"/>
    <sheet name="dashboard 2" sheetId="3" r:id="rId5"/>
  </sheets>
  <definedNames>
    <definedName name="Slicer_Region">#N/A</definedName>
  </definedNames>
  <calcPr calcId="191029"/>
  <pivotCaches>
    <pivotCache cacheId="1" r:id="rId6"/>
    <pivotCache cacheId="2"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34" i="6"/>
  <c r="F34" i="6"/>
  <c r="E34" i="6"/>
  <c r="D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alcChain>
</file>

<file path=xl/sharedStrings.xml><?xml version="1.0" encoding="utf-8"?>
<sst xmlns="http://schemas.openxmlformats.org/spreadsheetml/2006/main" count="191" uniqueCount="36">
  <si>
    <t>Pivot Table</t>
  </si>
  <si>
    <t>Row Labels</t>
  </si>
  <si>
    <t>Sum of Unit_Sold</t>
  </si>
  <si>
    <t>Sum of Unit_Price</t>
  </si>
  <si>
    <t>% of total revenue</t>
  </si>
  <si>
    <t>Sum of Sales</t>
  </si>
  <si>
    <t>Sum of Profits</t>
  </si>
  <si>
    <t>Adamaou</t>
  </si>
  <si>
    <t>Centre</t>
  </si>
  <si>
    <t>Extreme Nord</t>
  </si>
  <si>
    <t>Littoral</t>
  </si>
  <si>
    <t>Nord Ouest</t>
  </si>
  <si>
    <t>Ouest</t>
  </si>
  <si>
    <t>Sud Ouest</t>
  </si>
  <si>
    <t>Grand Total</t>
  </si>
  <si>
    <t>bikes</t>
  </si>
  <si>
    <t>camera</t>
  </si>
  <si>
    <t>cars</t>
  </si>
  <si>
    <t>casquettes</t>
  </si>
  <si>
    <t>laptop</t>
  </si>
  <si>
    <t>Phones</t>
  </si>
  <si>
    <t>Totals:</t>
  </si>
  <si>
    <t>Sales Report Analysis</t>
  </si>
  <si>
    <t>Date</t>
  </si>
  <si>
    <t>Region</t>
  </si>
  <si>
    <t>Product</t>
  </si>
  <si>
    <t>Unit_Sold</t>
  </si>
  <si>
    <t>Unit_Price</t>
  </si>
  <si>
    <t>Sales</t>
  </si>
  <si>
    <t>Profits</t>
  </si>
  <si>
    <t>phones</t>
  </si>
  <si>
    <t>Sales Report Dashboard</t>
  </si>
  <si>
    <t>Southwest</t>
  </si>
  <si>
    <t>Northwest</t>
  </si>
  <si>
    <t>West</t>
  </si>
  <si>
    <t>Far North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</si>
</sst>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FCFA&quot;"/>
  </numFmts>
  <fonts count="9">
    <font>
      <sz val="11"/>
      <color theme="1"/>
      <name val="Calibri"/>
      <charset val="134"/>
      <scheme val="minor"/>
    </font>
    <font>
      <b/>
      <sz val="20"/>
      <color theme="1"/>
      <name val="Calibri"/>
      <charset val="134"/>
      <scheme val="minor"/>
    </font>
    <font>
      <b/>
      <sz val="11"/>
      <color theme="1"/>
      <name val="Calibri"/>
      <charset val="134"/>
      <scheme val="minor"/>
    </font>
    <font>
      <b/>
      <sz val="12"/>
      <color theme="1"/>
      <name val="Calibri"/>
      <charset val="134"/>
      <scheme val="minor"/>
    </font>
    <font>
      <b/>
      <sz val="11"/>
      <color theme="1"/>
      <name val="Calibri"/>
      <charset val="134"/>
      <scheme val="minor"/>
    </font>
    <font>
      <b/>
      <sz val="14"/>
      <color theme="1"/>
      <name val="Calibri"/>
      <charset val="134"/>
      <scheme val="minor"/>
    </font>
    <font>
      <sz val="11"/>
      <color theme="1"/>
      <name val="Calibri"/>
      <charset val="134"/>
      <scheme val="minor"/>
    </font>
    <font>
      <b/>
      <sz val="18"/>
      <color theme="1"/>
      <name val="Calibri"/>
      <charset val="134"/>
      <scheme val="minor"/>
    </font>
    <font>
      <b/>
      <sz val="36"/>
      <color theme="0"/>
      <name val="Calibri"/>
      <family val="2"/>
      <scheme val="minor"/>
    </font>
  </fonts>
  <fills count="3">
    <fill>
      <patternFill patternType="none"/>
    </fill>
    <fill>
      <patternFill patternType="gray125"/>
    </fill>
    <fill>
      <patternFill patternType="solid">
        <fgColor theme="3" tint="-0.499984740745262"/>
        <bgColor indexed="64"/>
      </patternFill>
    </fill>
  </fills>
  <borders count="10">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9" fontId="6" fillId="0" borderId="0" applyFont="0" applyFill="0" applyBorder="0" applyAlignment="0" applyProtection="0"/>
  </cellStyleXfs>
  <cellXfs count="30">
    <xf numFmtId="0" fontId="0" fillId="0" borderId="0" xfId="0"/>
    <xf numFmtId="0" fontId="1" fillId="0" borderId="0" xfId="0" applyFont="1" applyAlignment="1">
      <alignment vertical="center"/>
    </xf>
    <xf numFmtId="0" fontId="0" fillId="0" borderId="0" xfId="0" applyAlignment="1">
      <alignment vertical="center"/>
    </xf>
    <xf numFmtId="0" fontId="2" fillId="0" borderId="1" xfId="0" applyFont="1" applyBorder="1"/>
    <xf numFmtId="0" fontId="2" fillId="0" borderId="2" xfId="0" applyFont="1" applyBorder="1"/>
    <xf numFmtId="0" fontId="2" fillId="0" borderId="3" xfId="0" applyFont="1" applyBorder="1"/>
    <xf numFmtId="14" fontId="0" fillId="0" borderId="4" xfId="1" applyNumberFormat="1" applyFont="1" applyBorder="1"/>
    <xf numFmtId="0" fontId="0" fillId="0" borderId="5" xfId="0" applyBorder="1"/>
    <xf numFmtId="164" fontId="0" fillId="0" borderId="5" xfId="0" applyNumberFormat="1" applyBorder="1"/>
    <xf numFmtId="164" fontId="0" fillId="0" borderId="6" xfId="0" applyNumberFormat="1" applyBorder="1"/>
    <xf numFmtId="14" fontId="0" fillId="0" borderId="4" xfId="0" applyNumberFormat="1" applyBorder="1"/>
    <xf numFmtId="14" fontId="0" fillId="0" borderId="7" xfId="0" applyNumberFormat="1" applyBorder="1"/>
    <xf numFmtId="0" fontId="0" fillId="0" borderId="8" xfId="0" applyBorder="1"/>
    <xf numFmtId="164" fontId="0" fillId="0" borderId="8" xfId="0" applyNumberFormat="1" applyBorder="1"/>
    <xf numFmtId="164" fontId="0" fillId="0" borderId="9" xfId="0" applyNumberFormat="1" applyBorder="1"/>
    <xf numFmtId="0" fontId="3" fillId="0" borderId="8" xfId="0" applyFont="1" applyBorder="1"/>
    <xf numFmtId="0" fontId="4" fillId="0" borderId="8" xfId="0" applyFont="1" applyBorder="1"/>
    <xf numFmtId="164" fontId="4" fillId="0" borderId="8" xfId="0" applyNumberFormat="1" applyFont="1" applyBorder="1"/>
    <xf numFmtId="164" fontId="4" fillId="0" borderId="9" xfId="0" applyNumberFormat="1" applyFont="1" applyBorder="1"/>
    <xf numFmtId="0" fontId="5" fillId="0" borderId="0" xfId="0" applyFont="1"/>
    <xf numFmtId="0" fontId="4" fillId="0" borderId="0" xfId="0" applyFont="1"/>
    <xf numFmtId="0" fontId="6" fillId="0" borderId="0" xfId="0" applyFont="1"/>
    <xf numFmtId="0" fontId="0" fillId="0" borderId="0" xfId="0" applyAlignment="1">
      <alignment horizontal="left"/>
    </xf>
    <xf numFmtId="0" fontId="7" fillId="0" borderId="0" xfId="0" applyFont="1"/>
    <xf numFmtId="10" fontId="0" fillId="0" borderId="0" xfId="0" applyNumberFormat="1"/>
    <xf numFmtId="0" fontId="0" fillId="2" borderId="0" xfId="0" applyFill="1"/>
    <xf numFmtId="0" fontId="0" fillId="0" borderId="0" xfId="0" pivotButton="1"/>
    <xf numFmtId="0" fontId="8" fillId="2" borderId="0" xfId="0" applyFont="1" applyFill="1" applyAlignment="1">
      <alignment horizontal="center"/>
    </xf>
    <xf numFmtId="0" fontId="1" fillId="0" borderId="0" xfId="0" applyFont="1" applyAlignment="1">
      <alignment horizontal="left"/>
    </xf>
    <xf numFmtId="0" fontId="0" fillId="0" borderId="0" xfId="0" applyNumberFormat="1"/>
  </cellXfs>
  <cellStyles count="2">
    <cellStyle name="Normal" xfId="0" builtinId="0"/>
    <cellStyle name="Percent" xfId="1" builtinId="5"/>
  </cellStyles>
  <dxfs count="17">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numFmt numFmtId="164" formatCode="#,##0\ &quot;FCFA&quot;"/>
      <border>
        <left style="thin">
          <color auto="1"/>
        </left>
        <right/>
        <top style="thin">
          <color auto="1"/>
        </top>
        <bottom style="thin">
          <color auto="1"/>
        </bottom>
      </border>
    </dxf>
    <dxf>
      <numFmt numFmtId="164" formatCode="#,##0\ &quot;FCFA&quot;"/>
      <border>
        <left style="thin">
          <color auto="1"/>
        </left>
        <right style="thin">
          <color auto="1"/>
        </right>
        <top style="thin">
          <color auto="1"/>
        </top>
        <bottom style="thin">
          <color auto="1"/>
        </bottom>
      </border>
    </dxf>
    <dxf>
      <numFmt numFmtId="164" formatCode="#,##0\ &quot;FCFA&quot;"/>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5" formatCode="dd/mm/yyyy"/>
      <border>
        <left/>
        <right style="thin">
          <color auto="1"/>
        </right>
        <top style="thin">
          <color auto="1"/>
        </top>
        <bottom style="thin">
          <color auto="1"/>
        </bottom>
      </border>
    </dxf>
    <dxf>
      <numFmt numFmtId="164" formatCode="#,##0\ &quot;FCFA&quot;"/>
      <border>
        <left style="thin">
          <color auto="1"/>
        </left>
        <right/>
        <top style="thin">
          <color auto="1"/>
        </top>
        <bottom style="thin">
          <color auto="1"/>
        </bottom>
      </border>
    </dxf>
    <dxf>
      <numFmt numFmtId="164" formatCode="#,##0\ &quot;FCFA&quot;"/>
      <border>
        <left style="thin">
          <color auto="1"/>
        </left>
        <right style="thin">
          <color auto="1"/>
        </right>
        <top style="thin">
          <color auto="1"/>
        </top>
        <bottom style="thin">
          <color auto="1"/>
        </bottom>
      </border>
    </dxf>
    <dxf>
      <numFmt numFmtId="164" formatCode="#,##0\ &quot;FCFA&quot;"/>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5" formatCode="dd/mm/yyyy"/>
      <border>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 Table!PivotTable1</c:name>
    <c:fmtId val="0"/>
  </c:pivotSource>
  <c:chart>
    <c:title>
      <c:overlay val="0"/>
      <c:txPr>
        <a:bodyPr rot="0" spcFirstLastPara="0" vertOverflow="ellipsis" vert="horz" wrap="square" anchor="ctr" anchorCtr="1"/>
        <a:lstStyle/>
        <a:p>
          <a:pPr>
            <a:defRPr lang="fr-FR" sz="1800" b="1" i="0" u="none" strike="noStrike" kern="1200" baseline="0">
              <a:solidFill>
                <a:schemeClr val="tx1"/>
              </a:solidFill>
              <a:latin typeface="+mn-lt"/>
              <a:ea typeface="+mn-ea"/>
              <a:cs typeface="+mn-cs"/>
            </a:defRPr>
          </a:pPr>
          <a:endParaRPr lang="fr-FR"/>
        </a:p>
      </c:txPr>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4651793525809"/>
          <c:y val="0.327567439486731"/>
          <c:w val="0.34296084864392001"/>
          <c:h val="0.571601414406533"/>
        </c:manualLayout>
      </c:layout>
      <c:pieChart>
        <c:varyColors val="1"/>
        <c:ser>
          <c:idx val="0"/>
          <c:order val="0"/>
          <c:tx>
            <c:strRef>
              <c:f>'Pivot Table'!$B$3</c:f>
              <c:strCache>
                <c:ptCount val="1"/>
                <c:pt idx="0">
                  <c:v>Sum of Unit_Sold</c:v>
                </c:pt>
              </c:strCache>
            </c:strRef>
          </c:tx>
          <c:dPt>
            <c:idx val="0"/>
            <c:bubble3D val="0"/>
            <c:extLst>
              <c:ext xmlns:c16="http://schemas.microsoft.com/office/drawing/2014/chart" uri="{C3380CC4-5D6E-409C-BE32-E72D297353CC}">
                <c16:uniqueId val="{00000000-FEB5-4514-8312-22943EBA9AD3}"/>
              </c:ext>
            </c:extLst>
          </c:dPt>
          <c:dPt>
            <c:idx val="1"/>
            <c:bubble3D val="0"/>
            <c:extLst>
              <c:ext xmlns:c16="http://schemas.microsoft.com/office/drawing/2014/chart" uri="{C3380CC4-5D6E-409C-BE32-E72D297353CC}">
                <c16:uniqueId val="{00000001-FEB5-4514-8312-22943EBA9AD3}"/>
              </c:ext>
            </c:extLst>
          </c:dPt>
          <c:dPt>
            <c:idx val="2"/>
            <c:bubble3D val="0"/>
            <c:extLst>
              <c:ext xmlns:c16="http://schemas.microsoft.com/office/drawing/2014/chart" uri="{C3380CC4-5D6E-409C-BE32-E72D297353CC}">
                <c16:uniqueId val="{00000002-FEB5-4514-8312-22943EBA9AD3}"/>
              </c:ext>
            </c:extLst>
          </c:dPt>
          <c:dPt>
            <c:idx val="3"/>
            <c:bubble3D val="0"/>
            <c:extLst>
              <c:ext xmlns:c16="http://schemas.microsoft.com/office/drawing/2014/chart" uri="{C3380CC4-5D6E-409C-BE32-E72D297353CC}">
                <c16:uniqueId val="{00000003-FEB5-4514-8312-22943EBA9AD3}"/>
              </c:ext>
            </c:extLst>
          </c:dPt>
          <c:dPt>
            <c:idx val="4"/>
            <c:bubble3D val="0"/>
            <c:extLst>
              <c:ext xmlns:c16="http://schemas.microsoft.com/office/drawing/2014/chart" uri="{C3380CC4-5D6E-409C-BE32-E72D297353CC}">
                <c16:uniqueId val="{00000004-FEB5-4514-8312-22943EBA9AD3}"/>
              </c:ext>
            </c:extLst>
          </c:dPt>
          <c:dPt>
            <c:idx val="5"/>
            <c:bubble3D val="0"/>
            <c:extLst>
              <c:ext xmlns:c16="http://schemas.microsoft.com/office/drawing/2014/chart" uri="{C3380CC4-5D6E-409C-BE32-E72D297353CC}">
                <c16:uniqueId val="{00000005-FEB5-4514-8312-22943EBA9AD3}"/>
              </c:ext>
            </c:extLst>
          </c:dPt>
          <c:dPt>
            <c:idx val="6"/>
            <c:bubble3D val="0"/>
            <c:extLst>
              <c:ext xmlns:c16="http://schemas.microsoft.com/office/drawing/2014/chart" uri="{C3380CC4-5D6E-409C-BE32-E72D297353CC}">
                <c16:uniqueId val="{00000006-FEB5-4514-8312-22943EBA9AD3}"/>
              </c:ext>
            </c:extLst>
          </c:dPt>
          <c:cat>
            <c:strRef>
              <c:f>'Pivot Table'!$A$4:$A$11</c:f>
              <c:strCache>
                <c:ptCount val="7"/>
                <c:pt idx="0">
                  <c:v>Adamaou</c:v>
                </c:pt>
                <c:pt idx="1">
                  <c:v>Centre</c:v>
                </c:pt>
                <c:pt idx="2">
                  <c:v>Extreme Nord</c:v>
                </c:pt>
                <c:pt idx="3">
                  <c:v>Littoral</c:v>
                </c:pt>
                <c:pt idx="4">
                  <c:v>Nord Ouest</c:v>
                </c:pt>
                <c:pt idx="5">
                  <c:v>Ouest</c:v>
                </c:pt>
                <c:pt idx="6">
                  <c:v>Sud Ouest</c:v>
                </c:pt>
              </c:strCache>
            </c:strRef>
          </c:cat>
          <c:val>
            <c:numRef>
              <c:f>'Pivot Table'!$B$4:$B$11</c:f>
              <c:numCache>
                <c:formatCode>General</c:formatCode>
                <c:ptCount val="7"/>
                <c:pt idx="0">
                  <c:v>15</c:v>
                </c:pt>
                <c:pt idx="1">
                  <c:v>37</c:v>
                </c:pt>
                <c:pt idx="2">
                  <c:v>33</c:v>
                </c:pt>
                <c:pt idx="3">
                  <c:v>98</c:v>
                </c:pt>
                <c:pt idx="4">
                  <c:v>40</c:v>
                </c:pt>
                <c:pt idx="5">
                  <c:v>25</c:v>
                </c:pt>
                <c:pt idx="6">
                  <c:v>31</c:v>
                </c:pt>
              </c:numCache>
            </c:numRef>
          </c:val>
          <c:extLst>
            <c:ext xmlns:c16="http://schemas.microsoft.com/office/drawing/2014/chart" uri="{C3380CC4-5D6E-409C-BE32-E72D297353CC}">
              <c16:uniqueId val="{00000007-FEB5-4514-8312-22943EBA9AD3}"/>
            </c:ext>
          </c:extLst>
        </c:ser>
        <c:ser>
          <c:idx val="1"/>
          <c:order val="1"/>
          <c:tx>
            <c:strRef>
              <c:f>'Pivot Table'!$C$3</c:f>
              <c:strCache>
                <c:ptCount val="1"/>
                <c:pt idx="0">
                  <c:v>Sum of Unit_Price</c:v>
                </c:pt>
              </c:strCache>
            </c:strRef>
          </c:tx>
          <c:dPt>
            <c:idx val="0"/>
            <c:bubble3D val="0"/>
            <c:extLst>
              <c:ext xmlns:c16="http://schemas.microsoft.com/office/drawing/2014/chart" uri="{C3380CC4-5D6E-409C-BE32-E72D297353CC}">
                <c16:uniqueId val="{00000008-FEB5-4514-8312-22943EBA9AD3}"/>
              </c:ext>
            </c:extLst>
          </c:dPt>
          <c:dPt>
            <c:idx val="1"/>
            <c:bubble3D val="0"/>
            <c:extLst>
              <c:ext xmlns:c16="http://schemas.microsoft.com/office/drawing/2014/chart" uri="{C3380CC4-5D6E-409C-BE32-E72D297353CC}">
                <c16:uniqueId val="{00000009-FEB5-4514-8312-22943EBA9AD3}"/>
              </c:ext>
            </c:extLst>
          </c:dPt>
          <c:dPt>
            <c:idx val="2"/>
            <c:bubble3D val="0"/>
            <c:extLst>
              <c:ext xmlns:c16="http://schemas.microsoft.com/office/drawing/2014/chart" uri="{C3380CC4-5D6E-409C-BE32-E72D297353CC}">
                <c16:uniqueId val="{0000000A-FEB5-4514-8312-22943EBA9AD3}"/>
              </c:ext>
            </c:extLst>
          </c:dPt>
          <c:dPt>
            <c:idx val="3"/>
            <c:bubble3D val="0"/>
            <c:extLst>
              <c:ext xmlns:c16="http://schemas.microsoft.com/office/drawing/2014/chart" uri="{C3380CC4-5D6E-409C-BE32-E72D297353CC}">
                <c16:uniqueId val="{0000000B-FEB5-4514-8312-22943EBA9AD3}"/>
              </c:ext>
            </c:extLst>
          </c:dPt>
          <c:dPt>
            <c:idx val="4"/>
            <c:bubble3D val="0"/>
            <c:extLst>
              <c:ext xmlns:c16="http://schemas.microsoft.com/office/drawing/2014/chart" uri="{C3380CC4-5D6E-409C-BE32-E72D297353CC}">
                <c16:uniqueId val="{0000000C-FEB5-4514-8312-22943EBA9AD3}"/>
              </c:ext>
            </c:extLst>
          </c:dPt>
          <c:dPt>
            <c:idx val="5"/>
            <c:bubble3D val="0"/>
            <c:extLst>
              <c:ext xmlns:c16="http://schemas.microsoft.com/office/drawing/2014/chart" uri="{C3380CC4-5D6E-409C-BE32-E72D297353CC}">
                <c16:uniqueId val="{0000000D-FEB5-4514-8312-22943EBA9AD3}"/>
              </c:ext>
            </c:extLst>
          </c:dPt>
          <c:dPt>
            <c:idx val="6"/>
            <c:bubble3D val="0"/>
            <c:extLst>
              <c:ext xmlns:c16="http://schemas.microsoft.com/office/drawing/2014/chart" uri="{C3380CC4-5D6E-409C-BE32-E72D297353CC}">
                <c16:uniqueId val="{0000000E-FEB5-4514-8312-22943EBA9AD3}"/>
              </c:ext>
            </c:extLst>
          </c:dPt>
          <c:cat>
            <c:strRef>
              <c:f>'Pivot Table'!$A$4:$A$11</c:f>
              <c:strCache>
                <c:ptCount val="7"/>
                <c:pt idx="0">
                  <c:v>Adamaou</c:v>
                </c:pt>
                <c:pt idx="1">
                  <c:v>Centre</c:v>
                </c:pt>
                <c:pt idx="2">
                  <c:v>Extreme Nord</c:v>
                </c:pt>
                <c:pt idx="3">
                  <c:v>Littoral</c:v>
                </c:pt>
                <c:pt idx="4">
                  <c:v>Nord Ouest</c:v>
                </c:pt>
                <c:pt idx="5">
                  <c:v>Ouest</c:v>
                </c:pt>
                <c:pt idx="6">
                  <c:v>Sud Ouest</c:v>
                </c:pt>
              </c:strCache>
            </c:strRef>
          </c:cat>
          <c:val>
            <c:numRef>
              <c:f>'Pivot Table'!$C$4:$C$11</c:f>
              <c:numCache>
                <c:formatCode>General</c:formatCode>
                <c:ptCount val="7"/>
                <c:pt idx="0">
                  <c:v>600000</c:v>
                </c:pt>
                <c:pt idx="1">
                  <c:v>8151999</c:v>
                </c:pt>
                <c:pt idx="2">
                  <c:v>792000</c:v>
                </c:pt>
                <c:pt idx="3">
                  <c:v>5903500</c:v>
                </c:pt>
                <c:pt idx="4">
                  <c:v>293999</c:v>
                </c:pt>
                <c:pt idx="5">
                  <c:v>2515500</c:v>
                </c:pt>
                <c:pt idx="6">
                  <c:v>3200000</c:v>
                </c:pt>
              </c:numCache>
            </c:numRef>
          </c:val>
          <c:extLst>
            <c:ext xmlns:c16="http://schemas.microsoft.com/office/drawing/2014/chart" uri="{C3380CC4-5D6E-409C-BE32-E72D297353CC}">
              <c16:uniqueId val="{0000000F-FEB5-4514-8312-22943EBA9AD3}"/>
            </c:ext>
          </c:extLst>
        </c:ser>
        <c:ser>
          <c:idx val="2"/>
          <c:order val="2"/>
          <c:tx>
            <c:strRef>
              <c:f>'Pivot Table'!$D$3</c:f>
              <c:strCache>
                <c:ptCount val="1"/>
                <c:pt idx="0">
                  <c:v>% of total revenue</c:v>
                </c:pt>
              </c:strCache>
            </c:strRef>
          </c:tx>
          <c:dPt>
            <c:idx val="0"/>
            <c:bubble3D val="0"/>
            <c:extLst>
              <c:ext xmlns:c16="http://schemas.microsoft.com/office/drawing/2014/chart" uri="{C3380CC4-5D6E-409C-BE32-E72D297353CC}">
                <c16:uniqueId val="{00000010-FEB5-4514-8312-22943EBA9AD3}"/>
              </c:ext>
            </c:extLst>
          </c:dPt>
          <c:dPt>
            <c:idx val="1"/>
            <c:bubble3D val="0"/>
            <c:extLst>
              <c:ext xmlns:c16="http://schemas.microsoft.com/office/drawing/2014/chart" uri="{C3380CC4-5D6E-409C-BE32-E72D297353CC}">
                <c16:uniqueId val="{00000011-FEB5-4514-8312-22943EBA9AD3}"/>
              </c:ext>
            </c:extLst>
          </c:dPt>
          <c:dPt>
            <c:idx val="2"/>
            <c:bubble3D val="0"/>
            <c:extLst>
              <c:ext xmlns:c16="http://schemas.microsoft.com/office/drawing/2014/chart" uri="{C3380CC4-5D6E-409C-BE32-E72D297353CC}">
                <c16:uniqueId val="{00000012-FEB5-4514-8312-22943EBA9AD3}"/>
              </c:ext>
            </c:extLst>
          </c:dPt>
          <c:dPt>
            <c:idx val="3"/>
            <c:bubble3D val="0"/>
            <c:extLst>
              <c:ext xmlns:c16="http://schemas.microsoft.com/office/drawing/2014/chart" uri="{C3380CC4-5D6E-409C-BE32-E72D297353CC}">
                <c16:uniqueId val="{00000013-FEB5-4514-8312-22943EBA9AD3}"/>
              </c:ext>
            </c:extLst>
          </c:dPt>
          <c:dPt>
            <c:idx val="4"/>
            <c:bubble3D val="0"/>
            <c:extLst>
              <c:ext xmlns:c16="http://schemas.microsoft.com/office/drawing/2014/chart" uri="{C3380CC4-5D6E-409C-BE32-E72D297353CC}">
                <c16:uniqueId val="{00000014-FEB5-4514-8312-22943EBA9AD3}"/>
              </c:ext>
            </c:extLst>
          </c:dPt>
          <c:dPt>
            <c:idx val="5"/>
            <c:bubble3D val="0"/>
            <c:extLst>
              <c:ext xmlns:c16="http://schemas.microsoft.com/office/drawing/2014/chart" uri="{C3380CC4-5D6E-409C-BE32-E72D297353CC}">
                <c16:uniqueId val="{00000015-FEB5-4514-8312-22943EBA9AD3}"/>
              </c:ext>
            </c:extLst>
          </c:dPt>
          <c:dPt>
            <c:idx val="6"/>
            <c:bubble3D val="0"/>
            <c:extLst>
              <c:ext xmlns:c16="http://schemas.microsoft.com/office/drawing/2014/chart" uri="{C3380CC4-5D6E-409C-BE32-E72D297353CC}">
                <c16:uniqueId val="{00000016-FEB5-4514-8312-22943EBA9AD3}"/>
              </c:ext>
            </c:extLst>
          </c:dPt>
          <c:cat>
            <c:strRef>
              <c:f>'Pivot Table'!$A$4:$A$11</c:f>
              <c:strCache>
                <c:ptCount val="7"/>
                <c:pt idx="0">
                  <c:v>Adamaou</c:v>
                </c:pt>
                <c:pt idx="1">
                  <c:v>Centre</c:v>
                </c:pt>
                <c:pt idx="2">
                  <c:v>Extreme Nord</c:v>
                </c:pt>
                <c:pt idx="3">
                  <c:v>Littoral</c:v>
                </c:pt>
                <c:pt idx="4">
                  <c:v>Nord Ouest</c:v>
                </c:pt>
                <c:pt idx="5">
                  <c:v>Ouest</c:v>
                </c:pt>
                <c:pt idx="6">
                  <c:v>Sud Ouest</c:v>
                </c:pt>
              </c:strCache>
            </c:strRef>
          </c:cat>
          <c:val>
            <c:numRef>
              <c:f>'Pivot Table'!$D$4:$D$11</c:f>
              <c:numCache>
                <c:formatCode>0.00%</c:formatCode>
                <c:ptCount val="7"/>
                <c:pt idx="0">
                  <c:v>2.7962905155697899E-2</c:v>
                </c:pt>
                <c:pt idx="1">
                  <c:v>0.37992262477723998</c:v>
                </c:pt>
                <c:pt idx="2">
                  <c:v>3.6911034805521298E-2</c:v>
                </c:pt>
                <c:pt idx="3">
                  <c:v>0.27513168431110402</c:v>
                </c:pt>
                <c:pt idx="4">
                  <c:v>1.3701776921450101E-2</c:v>
                </c:pt>
                <c:pt idx="5">
                  <c:v>0.117234479865264</c:v>
                </c:pt>
                <c:pt idx="6">
                  <c:v>0.14913549416372199</c:v>
                </c:pt>
              </c:numCache>
            </c:numRef>
          </c:val>
          <c:extLst>
            <c:ext xmlns:c16="http://schemas.microsoft.com/office/drawing/2014/chart" uri="{C3380CC4-5D6E-409C-BE32-E72D297353CC}">
              <c16:uniqueId val="{00000017-FEB5-4514-8312-22943EBA9AD3}"/>
            </c:ext>
          </c:extLst>
        </c:ser>
        <c:ser>
          <c:idx val="3"/>
          <c:order val="3"/>
          <c:tx>
            <c:strRef>
              <c:f>'Pivot Table'!$E$3</c:f>
              <c:strCache>
                <c:ptCount val="1"/>
                <c:pt idx="0">
                  <c:v>Sum of Sales</c:v>
                </c:pt>
              </c:strCache>
            </c:strRef>
          </c:tx>
          <c:dPt>
            <c:idx val="0"/>
            <c:bubble3D val="0"/>
            <c:extLst>
              <c:ext xmlns:c16="http://schemas.microsoft.com/office/drawing/2014/chart" uri="{C3380CC4-5D6E-409C-BE32-E72D297353CC}">
                <c16:uniqueId val="{00000018-FEB5-4514-8312-22943EBA9AD3}"/>
              </c:ext>
            </c:extLst>
          </c:dPt>
          <c:dPt>
            <c:idx val="1"/>
            <c:bubble3D val="0"/>
            <c:extLst>
              <c:ext xmlns:c16="http://schemas.microsoft.com/office/drawing/2014/chart" uri="{C3380CC4-5D6E-409C-BE32-E72D297353CC}">
                <c16:uniqueId val="{00000019-FEB5-4514-8312-22943EBA9AD3}"/>
              </c:ext>
            </c:extLst>
          </c:dPt>
          <c:dPt>
            <c:idx val="2"/>
            <c:bubble3D val="0"/>
            <c:extLst>
              <c:ext xmlns:c16="http://schemas.microsoft.com/office/drawing/2014/chart" uri="{C3380CC4-5D6E-409C-BE32-E72D297353CC}">
                <c16:uniqueId val="{0000001A-FEB5-4514-8312-22943EBA9AD3}"/>
              </c:ext>
            </c:extLst>
          </c:dPt>
          <c:dPt>
            <c:idx val="3"/>
            <c:bubble3D val="0"/>
            <c:extLst>
              <c:ext xmlns:c16="http://schemas.microsoft.com/office/drawing/2014/chart" uri="{C3380CC4-5D6E-409C-BE32-E72D297353CC}">
                <c16:uniqueId val="{0000001B-FEB5-4514-8312-22943EBA9AD3}"/>
              </c:ext>
            </c:extLst>
          </c:dPt>
          <c:dPt>
            <c:idx val="4"/>
            <c:bubble3D val="0"/>
            <c:extLst>
              <c:ext xmlns:c16="http://schemas.microsoft.com/office/drawing/2014/chart" uri="{C3380CC4-5D6E-409C-BE32-E72D297353CC}">
                <c16:uniqueId val="{0000001C-FEB5-4514-8312-22943EBA9AD3}"/>
              </c:ext>
            </c:extLst>
          </c:dPt>
          <c:dPt>
            <c:idx val="5"/>
            <c:bubble3D val="0"/>
            <c:extLst>
              <c:ext xmlns:c16="http://schemas.microsoft.com/office/drawing/2014/chart" uri="{C3380CC4-5D6E-409C-BE32-E72D297353CC}">
                <c16:uniqueId val="{0000001D-FEB5-4514-8312-22943EBA9AD3}"/>
              </c:ext>
            </c:extLst>
          </c:dPt>
          <c:dPt>
            <c:idx val="6"/>
            <c:bubble3D val="0"/>
            <c:extLst>
              <c:ext xmlns:c16="http://schemas.microsoft.com/office/drawing/2014/chart" uri="{C3380CC4-5D6E-409C-BE32-E72D297353CC}">
                <c16:uniqueId val="{0000001E-FEB5-4514-8312-22943EBA9AD3}"/>
              </c:ext>
            </c:extLst>
          </c:dPt>
          <c:cat>
            <c:strRef>
              <c:f>'Pivot Table'!$A$4:$A$11</c:f>
              <c:strCache>
                <c:ptCount val="7"/>
                <c:pt idx="0">
                  <c:v>Adamaou</c:v>
                </c:pt>
                <c:pt idx="1">
                  <c:v>Centre</c:v>
                </c:pt>
                <c:pt idx="2">
                  <c:v>Extreme Nord</c:v>
                </c:pt>
                <c:pt idx="3">
                  <c:v>Littoral</c:v>
                </c:pt>
                <c:pt idx="4">
                  <c:v>Nord Ouest</c:v>
                </c:pt>
                <c:pt idx="5">
                  <c:v>Ouest</c:v>
                </c:pt>
                <c:pt idx="6">
                  <c:v>Sud Ouest</c:v>
                </c:pt>
              </c:strCache>
            </c:strRef>
          </c:cat>
          <c:val>
            <c:numRef>
              <c:f>'Pivot Table'!$E$4:$E$11</c:f>
              <c:numCache>
                <c:formatCode>General</c:formatCode>
                <c:ptCount val="7"/>
                <c:pt idx="0">
                  <c:v>612999</c:v>
                </c:pt>
                <c:pt idx="1">
                  <c:v>8468500</c:v>
                </c:pt>
                <c:pt idx="2">
                  <c:v>847000</c:v>
                </c:pt>
                <c:pt idx="3">
                  <c:v>6398500</c:v>
                </c:pt>
                <c:pt idx="4">
                  <c:v>318999</c:v>
                </c:pt>
                <c:pt idx="5">
                  <c:v>2558500</c:v>
                </c:pt>
                <c:pt idx="6">
                  <c:v>3400000</c:v>
                </c:pt>
              </c:numCache>
            </c:numRef>
          </c:val>
          <c:extLst>
            <c:ext xmlns:c16="http://schemas.microsoft.com/office/drawing/2014/chart" uri="{C3380CC4-5D6E-409C-BE32-E72D297353CC}">
              <c16:uniqueId val="{0000001F-FEB5-4514-8312-22943EBA9AD3}"/>
            </c:ext>
          </c:extLst>
        </c:ser>
        <c:ser>
          <c:idx val="4"/>
          <c:order val="4"/>
          <c:tx>
            <c:strRef>
              <c:f>'Pivot Table'!$F$3</c:f>
              <c:strCache>
                <c:ptCount val="1"/>
                <c:pt idx="0">
                  <c:v>Sum of Profits</c:v>
                </c:pt>
              </c:strCache>
            </c:strRef>
          </c:tx>
          <c:dPt>
            <c:idx val="0"/>
            <c:bubble3D val="0"/>
            <c:extLst>
              <c:ext xmlns:c16="http://schemas.microsoft.com/office/drawing/2014/chart" uri="{C3380CC4-5D6E-409C-BE32-E72D297353CC}">
                <c16:uniqueId val="{00000020-FEB5-4514-8312-22943EBA9AD3}"/>
              </c:ext>
            </c:extLst>
          </c:dPt>
          <c:dPt>
            <c:idx val="1"/>
            <c:bubble3D val="0"/>
            <c:extLst>
              <c:ext xmlns:c16="http://schemas.microsoft.com/office/drawing/2014/chart" uri="{C3380CC4-5D6E-409C-BE32-E72D297353CC}">
                <c16:uniqueId val="{00000021-FEB5-4514-8312-22943EBA9AD3}"/>
              </c:ext>
            </c:extLst>
          </c:dPt>
          <c:dPt>
            <c:idx val="2"/>
            <c:bubble3D val="0"/>
            <c:extLst>
              <c:ext xmlns:c16="http://schemas.microsoft.com/office/drawing/2014/chart" uri="{C3380CC4-5D6E-409C-BE32-E72D297353CC}">
                <c16:uniqueId val="{00000022-FEB5-4514-8312-22943EBA9AD3}"/>
              </c:ext>
            </c:extLst>
          </c:dPt>
          <c:dPt>
            <c:idx val="3"/>
            <c:bubble3D val="0"/>
            <c:extLst>
              <c:ext xmlns:c16="http://schemas.microsoft.com/office/drawing/2014/chart" uri="{C3380CC4-5D6E-409C-BE32-E72D297353CC}">
                <c16:uniqueId val="{00000023-FEB5-4514-8312-22943EBA9AD3}"/>
              </c:ext>
            </c:extLst>
          </c:dPt>
          <c:dPt>
            <c:idx val="4"/>
            <c:bubble3D val="0"/>
            <c:extLst>
              <c:ext xmlns:c16="http://schemas.microsoft.com/office/drawing/2014/chart" uri="{C3380CC4-5D6E-409C-BE32-E72D297353CC}">
                <c16:uniqueId val="{00000024-FEB5-4514-8312-22943EBA9AD3}"/>
              </c:ext>
            </c:extLst>
          </c:dPt>
          <c:dPt>
            <c:idx val="5"/>
            <c:bubble3D val="0"/>
            <c:extLst>
              <c:ext xmlns:c16="http://schemas.microsoft.com/office/drawing/2014/chart" uri="{C3380CC4-5D6E-409C-BE32-E72D297353CC}">
                <c16:uniqueId val="{00000025-FEB5-4514-8312-22943EBA9AD3}"/>
              </c:ext>
            </c:extLst>
          </c:dPt>
          <c:dPt>
            <c:idx val="6"/>
            <c:bubble3D val="0"/>
            <c:extLst>
              <c:ext xmlns:c16="http://schemas.microsoft.com/office/drawing/2014/chart" uri="{C3380CC4-5D6E-409C-BE32-E72D297353CC}">
                <c16:uniqueId val="{00000026-FEB5-4514-8312-22943EBA9AD3}"/>
              </c:ext>
            </c:extLst>
          </c:dPt>
          <c:cat>
            <c:strRef>
              <c:f>'Pivot Table'!$A$4:$A$11</c:f>
              <c:strCache>
                <c:ptCount val="7"/>
                <c:pt idx="0">
                  <c:v>Adamaou</c:v>
                </c:pt>
                <c:pt idx="1">
                  <c:v>Centre</c:v>
                </c:pt>
                <c:pt idx="2">
                  <c:v>Extreme Nord</c:v>
                </c:pt>
                <c:pt idx="3">
                  <c:v>Littoral</c:v>
                </c:pt>
                <c:pt idx="4">
                  <c:v>Nord Ouest</c:v>
                </c:pt>
                <c:pt idx="5">
                  <c:v>Ouest</c:v>
                </c:pt>
                <c:pt idx="6">
                  <c:v>Sud Ouest</c:v>
                </c:pt>
              </c:strCache>
            </c:strRef>
          </c:cat>
          <c:val>
            <c:numRef>
              <c:f>'Pivot Table'!$F$4:$F$11</c:f>
              <c:numCache>
                <c:formatCode>General</c:formatCode>
                <c:ptCount val="7"/>
                <c:pt idx="0">
                  <c:v>12999</c:v>
                </c:pt>
                <c:pt idx="1">
                  <c:v>316501</c:v>
                </c:pt>
                <c:pt idx="2">
                  <c:v>55000</c:v>
                </c:pt>
                <c:pt idx="3">
                  <c:v>495000</c:v>
                </c:pt>
                <c:pt idx="4">
                  <c:v>25000</c:v>
                </c:pt>
                <c:pt idx="5">
                  <c:v>43000</c:v>
                </c:pt>
                <c:pt idx="6">
                  <c:v>200000</c:v>
                </c:pt>
              </c:numCache>
            </c:numRef>
          </c:val>
          <c:extLst>
            <c:ext xmlns:c16="http://schemas.microsoft.com/office/drawing/2014/chart" uri="{C3380CC4-5D6E-409C-BE32-E72D297353CC}">
              <c16:uniqueId val="{00000027-FEB5-4514-8312-22943EBA9AD3}"/>
            </c:ext>
          </c:extLst>
        </c:ser>
        <c:dLbls>
          <c:showLegendKey val="0"/>
          <c:showVal val="0"/>
          <c:showCatName val="0"/>
          <c:showSerName val="0"/>
          <c:showPercent val="0"/>
          <c:showBubbleSize val="0"/>
          <c:showLeaderLines val="1"/>
        </c:dLbls>
        <c:firstSliceAng val="0"/>
      </c:pieChart>
    </c:plotArea>
    <c:legend>
      <c:legendPos val="r"/>
      <c:overlay val="0"/>
      <c:txPr>
        <a:bodyPr rot="0" spcFirstLastPara="0" vertOverflow="ellipsis" vert="horz" wrap="square" anchor="ctr" anchorCtr="1"/>
        <a:lstStyle/>
        <a:p>
          <a:pPr>
            <a:defRPr lang="fr-FR" sz="1000" b="0" i="0" u="none" strike="noStrike" kern="1200" baseline="0">
              <a:solidFill>
                <a:schemeClr val="tx1"/>
              </a:solidFill>
              <a:latin typeface="+mn-lt"/>
              <a:ea typeface="+mn-ea"/>
              <a:cs typeface="+mn-cs"/>
            </a:defRPr>
          </a:pPr>
          <a:endParaRPr lang="fr-FR"/>
        </a:p>
      </c:txPr>
    </c:legend>
    <c:plotVisOnly val="1"/>
    <c:dispBlanksAs val="gap"/>
    <c:showDLblsOverMax val="0"/>
    <c:extLst>
      <c:ext uri="{0b15fc19-7d7d-44ad-8c2d-2c3a37ce22c3}">
        <chartProps xmlns="https://web.wps.cn/et/2018/main" chartId="{19fd8093-4ab2-4518-86a8-827ba79f3f96}"/>
      </c:ext>
    </c:extLst>
  </c:chart>
  <c:txPr>
    <a:bodyPr/>
    <a:lstStyle/>
    <a:p>
      <a:pPr>
        <a:defRPr lang="fr-F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 Table!PivotTable1</c:name>
    <c:fmtId val="1"/>
  </c:pivotSource>
  <c:chart>
    <c:autoTitleDeleted val="1"/>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Sum of Unit_Sold</c:v>
                </c:pt>
              </c:strCache>
            </c:strRef>
          </c:tx>
          <c:invertIfNegative val="0"/>
          <c:cat>
            <c:strRef>
              <c:f>'Pivot Table'!$A$4:$A$11</c:f>
              <c:strCache>
                <c:ptCount val="7"/>
                <c:pt idx="0">
                  <c:v>Adamaou</c:v>
                </c:pt>
                <c:pt idx="1">
                  <c:v>Centre</c:v>
                </c:pt>
                <c:pt idx="2">
                  <c:v>Extreme Nord</c:v>
                </c:pt>
                <c:pt idx="3">
                  <c:v>Littoral</c:v>
                </c:pt>
                <c:pt idx="4">
                  <c:v>Nord Ouest</c:v>
                </c:pt>
                <c:pt idx="5">
                  <c:v>Ouest</c:v>
                </c:pt>
                <c:pt idx="6">
                  <c:v>Sud Ouest</c:v>
                </c:pt>
              </c:strCache>
            </c:strRef>
          </c:cat>
          <c:val>
            <c:numRef>
              <c:f>'Pivot Table'!$B$4:$B$11</c:f>
              <c:numCache>
                <c:formatCode>General</c:formatCode>
                <c:ptCount val="7"/>
                <c:pt idx="0">
                  <c:v>15</c:v>
                </c:pt>
                <c:pt idx="1">
                  <c:v>37</c:v>
                </c:pt>
                <c:pt idx="2">
                  <c:v>33</c:v>
                </c:pt>
                <c:pt idx="3">
                  <c:v>98</c:v>
                </c:pt>
                <c:pt idx="4">
                  <c:v>40</c:v>
                </c:pt>
                <c:pt idx="5">
                  <c:v>25</c:v>
                </c:pt>
                <c:pt idx="6">
                  <c:v>31</c:v>
                </c:pt>
              </c:numCache>
            </c:numRef>
          </c:val>
          <c:extLst>
            <c:ext xmlns:c16="http://schemas.microsoft.com/office/drawing/2014/chart" uri="{C3380CC4-5D6E-409C-BE32-E72D297353CC}">
              <c16:uniqueId val="{00000000-A1D9-4D20-AF14-56E1B5542AB4}"/>
            </c:ext>
          </c:extLst>
        </c:ser>
        <c:ser>
          <c:idx val="1"/>
          <c:order val="1"/>
          <c:tx>
            <c:strRef>
              <c:f>'Pivot Table'!$C$3</c:f>
              <c:strCache>
                <c:ptCount val="1"/>
                <c:pt idx="0">
                  <c:v>Sum of Unit_Price</c:v>
                </c:pt>
              </c:strCache>
            </c:strRef>
          </c:tx>
          <c:invertIfNegative val="0"/>
          <c:cat>
            <c:strRef>
              <c:f>'Pivot Table'!$A$4:$A$11</c:f>
              <c:strCache>
                <c:ptCount val="7"/>
                <c:pt idx="0">
                  <c:v>Adamaou</c:v>
                </c:pt>
                <c:pt idx="1">
                  <c:v>Centre</c:v>
                </c:pt>
                <c:pt idx="2">
                  <c:v>Extreme Nord</c:v>
                </c:pt>
                <c:pt idx="3">
                  <c:v>Littoral</c:v>
                </c:pt>
                <c:pt idx="4">
                  <c:v>Nord Ouest</c:v>
                </c:pt>
                <c:pt idx="5">
                  <c:v>Ouest</c:v>
                </c:pt>
                <c:pt idx="6">
                  <c:v>Sud Ouest</c:v>
                </c:pt>
              </c:strCache>
            </c:strRef>
          </c:cat>
          <c:val>
            <c:numRef>
              <c:f>'Pivot Table'!$C$4:$C$11</c:f>
              <c:numCache>
                <c:formatCode>General</c:formatCode>
                <c:ptCount val="7"/>
                <c:pt idx="0">
                  <c:v>600000</c:v>
                </c:pt>
                <c:pt idx="1">
                  <c:v>8151999</c:v>
                </c:pt>
                <c:pt idx="2">
                  <c:v>792000</c:v>
                </c:pt>
                <c:pt idx="3">
                  <c:v>5903500</c:v>
                </c:pt>
                <c:pt idx="4">
                  <c:v>293999</c:v>
                </c:pt>
                <c:pt idx="5">
                  <c:v>2515500</c:v>
                </c:pt>
                <c:pt idx="6">
                  <c:v>3200000</c:v>
                </c:pt>
              </c:numCache>
            </c:numRef>
          </c:val>
          <c:extLst>
            <c:ext xmlns:c16="http://schemas.microsoft.com/office/drawing/2014/chart" uri="{C3380CC4-5D6E-409C-BE32-E72D297353CC}">
              <c16:uniqueId val="{00000001-A1D9-4D20-AF14-56E1B5542AB4}"/>
            </c:ext>
          </c:extLst>
        </c:ser>
        <c:ser>
          <c:idx val="2"/>
          <c:order val="2"/>
          <c:tx>
            <c:strRef>
              <c:f>'Pivot Table'!$D$3</c:f>
              <c:strCache>
                <c:ptCount val="1"/>
                <c:pt idx="0">
                  <c:v>% of total revenue</c:v>
                </c:pt>
              </c:strCache>
            </c:strRef>
          </c:tx>
          <c:invertIfNegative val="0"/>
          <c:cat>
            <c:strRef>
              <c:f>'Pivot Table'!$A$4:$A$11</c:f>
              <c:strCache>
                <c:ptCount val="7"/>
                <c:pt idx="0">
                  <c:v>Adamaou</c:v>
                </c:pt>
                <c:pt idx="1">
                  <c:v>Centre</c:v>
                </c:pt>
                <c:pt idx="2">
                  <c:v>Extreme Nord</c:v>
                </c:pt>
                <c:pt idx="3">
                  <c:v>Littoral</c:v>
                </c:pt>
                <c:pt idx="4">
                  <c:v>Nord Ouest</c:v>
                </c:pt>
                <c:pt idx="5">
                  <c:v>Ouest</c:v>
                </c:pt>
                <c:pt idx="6">
                  <c:v>Sud Ouest</c:v>
                </c:pt>
              </c:strCache>
            </c:strRef>
          </c:cat>
          <c:val>
            <c:numRef>
              <c:f>'Pivot Table'!$D$4:$D$11</c:f>
              <c:numCache>
                <c:formatCode>0.00%</c:formatCode>
                <c:ptCount val="7"/>
                <c:pt idx="0">
                  <c:v>2.7962905155697899E-2</c:v>
                </c:pt>
                <c:pt idx="1">
                  <c:v>0.37992262477723998</c:v>
                </c:pt>
                <c:pt idx="2">
                  <c:v>3.6911034805521298E-2</c:v>
                </c:pt>
                <c:pt idx="3">
                  <c:v>0.27513168431110402</c:v>
                </c:pt>
                <c:pt idx="4">
                  <c:v>1.3701776921450101E-2</c:v>
                </c:pt>
                <c:pt idx="5">
                  <c:v>0.117234479865264</c:v>
                </c:pt>
                <c:pt idx="6">
                  <c:v>0.14913549416372199</c:v>
                </c:pt>
              </c:numCache>
            </c:numRef>
          </c:val>
          <c:extLst>
            <c:ext xmlns:c16="http://schemas.microsoft.com/office/drawing/2014/chart" uri="{C3380CC4-5D6E-409C-BE32-E72D297353CC}">
              <c16:uniqueId val="{00000002-A1D9-4D20-AF14-56E1B5542AB4}"/>
            </c:ext>
          </c:extLst>
        </c:ser>
        <c:ser>
          <c:idx val="3"/>
          <c:order val="3"/>
          <c:tx>
            <c:strRef>
              <c:f>'Pivot Table'!$E$3</c:f>
              <c:strCache>
                <c:ptCount val="1"/>
                <c:pt idx="0">
                  <c:v>Sum of Sales</c:v>
                </c:pt>
              </c:strCache>
            </c:strRef>
          </c:tx>
          <c:invertIfNegative val="0"/>
          <c:cat>
            <c:strRef>
              <c:f>'Pivot Table'!$A$4:$A$11</c:f>
              <c:strCache>
                <c:ptCount val="7"/>
                <c:pt idx="0">
                  <c:v>Adamaou</c:v>
                </c:pt>
                <c:pt idx="1">
                  <c:v>Centre</c:v>
                </c:pt>
                <c:pt idx="2">
                  <c:v>Extreme Nord</c:v>
                </c:pt>
                <c:pt idx="3">
                  <c:v>Littoral</c:v>
                </c:pt>
                <c:pt idx="4">
                  <c:v>Nord Ouest</c:v>
                </c:pt>
                <c:pt idx="5">
                  <c:v>Ouest</c:v>
                </c:pt>
                <c:pt idx="6">
                  <c:v>Sud Ouest</c:v>
                </c:pt>
              </c:strCache>
            </c:strRef>
          </c:cat>
          <c:val>
            <c:numRef>
              <c:f>'Pivot Table'!$E$4:$E$11</c:f>
              <c:numCache>
                <c:formatCode>General</c:formatCode>
                <c:ptCount val="7"/>
                <c:pt idx="0">
                  <c:v>612999</c:v>
                </c:pt>
                <c:pt idx="1">
                  <c:v>8468500</c:v>
                </c:pt>
                <c:pt idx="2">
                  <c:v>847000</c:v>
                </c:pt>
                <c:pt idx="3">
                  <c:v>6398500</c:v>
                </c:pt>
                <c:pt idx="4">
                  <c:v>318999</c:v>
                </c:pt>
                <c:pt idx="5">
                  <c:v>2558500</c:v>
                </c:pt>
                <c:pt idx="6">
                  <c:v>3400000</c:v>
                </c:pt>
              </c:numCache>
            </c:numRef>
          </c:val>
          <c:extLst>
            <c:ext xmlns:c16="http://schemas.microsoft.com/office/drawing/2014/chart" uri="{C3380CC4-5D6E-409C-BE32-E72D297353CC}">
              <c16:uniqueId val="{00000003-A1D9-4D20-AF14-56E1B5542AB4}"/>
            </c:ext>
          </c:extLst>
        </c:ser>
        <c:ser>
          <c:idx val="4"/>
          <c:order val="4"/>
          <c:tx>
            <c:strRef>
              <c:f>'Pivot Table'!$F$3</c:f>
              <c:strCache>
                <c:ptCount val="1"/>
                <c:pt idx="0">
                  <c:v>Sum of Profits</c:v>
                </c:pt>
              </c:strCache>
            </c:strRef>
          </c:tx>
          <c:invertIfNegative val="0"/>
          <c:cat>
            <c:strRef>
              <c:f>'Pivot Table'!$A$4:$A$11</c:f>
              <c:strCache>
                <c:ptCount val="7"/>
                <c:pt idx="0">
                  <c:v>Adamaou</c:v>
                </c:pt>
                <c:pt idx="1">
                  <c:v>Centre</c:v>
                </c:pt>
                <c:pt idx="2">
                  <c:v>Extreme Nord</c:v>
                </c:pt>
                <c:pt idx="3">
                  <c:v>Littoral</c:v>
                </c:pt>
                <c:pt idx="4">
                  <c:v>Nord Ouest</c:v>
                </c:pt>
                <c:pt idx="5">
                  <c:v>Ouest</c:v>
                </c:pt>
                <c:pt idx="6">
                  <c:v>Sud Ouest</c:v>
                </c:pt>
              </c:strCache>
            </c:strRef>
          </c:cat>
          <c:val>
            <c:numRef>
              <c:f>'Pivot Table'!$F$4:$F$11</c:f>
              <c:numCache>
                <c:formatCode>General</c:formatCode>
                <c:ptCount val="7"/>
                <c:pt idx="0">
                  <c:v>12999</c:v>
                </c:pt>
                <c:pt idx="1">
                  <c:v>316501</c:v>
                </c:pt>
                <c:pt idx="2">
                  <c:v>55000</c:v>
                </c:pt>
                <c:pt idx="3">
                  <c:v>495000</c:v>
                </c:pt>
                <c:pt idx="4">
                  <c:v>25000</c:v>
                </c:pt>
                <c:pt idx="5">
                  <c:v>43000</c:v>
                </c:pt>
                <c:pt idx="6">
                  <c:v>200000</c:v>
                </c:pt>
              </c:numCache>
            </c:numRef>
          </c:val>
          <c:extLst>
            <c:ext xmlns:c16="http://schemas.microsoft.com/office/drawing/2014/chart" uri="{C3380CC4-5D6E-409C-BE32-E72D297353CC}">
              <c16:uniqueId val="{00000004-A1D9-4D20-AF14-56E1B5542AB4}"/>
            </c:ext>
          </c:extLst>
        </c:ser>
        <c:dLbls>
          <c:showLegendKey val="0"/>
          <c:showVal val="0"/>
          <c:showCatName val="0"/>
          <c:showSerName val="0"/>
          <c:showPercent val="0"/>
          <c:showBubbleSize val="0"/>
        </c:dLbls>
        <c:gapWidth val="150"/>
        <c:axId val="152967808"/>
        <c:axId val="242303360"/>
      </c:barChart>
      <c:catAx>
        <c:axId val="152967808"/>
        <c:scaling>
          <c:orientation val="minMax"/>
        </c:scaling>
        <c:delete val="0"/>
        <c:axPos val="l"/>
        <c:numFmt formatCode="General" sourceLinked="0"/>
        <c:majorTickMark val="out"/>
        <c:minorTickMark val="none"/>
        <c:tickLblPos val="nextTo"/>
        <c:txPr>
          <a:bodyPr rot="-60000000" spcFirstLastPara="0" vertOverflow="ellipsis" vert="horz" wrap="square" anchor="ctr" anchorCtr="1"/>
          <a:lstStyle/>
          <a:p>
            <a:pPr>
              <a:defRPr lang="fr-FR" sz="1000" b="0" i="0" u="none" strike="noStrike" kern="1200" baseline="0">
                <a:solidFill>
                  <a:schemeClr val="tx1"/>
                </a:solidFill>
                <a:latin typeface="+mn-lt"/>
                <a:ea typeface="+mn-ea"/>
                <a:cs typeface="+mn-cs"/>
              </a:defRPr>
            </a:pPr>
            <a:endParaRPr lang="fr-FR"/>
          </a:p>
        </c:txPr>
        <c:crossAx val="242303360"/>
        <c:crosses val="autoZero"/>
        <c:auto val="1"/>
        <c:lblAlgn val="ctr"/>
        <c:lblOffset val="100"/>
        <c:noMultiLvlLbl val="0"/>
      </c:catAx>
      <c:valAx>
        <c:axId val="242303360"/>
        <c:scaling>
          <c:orientation val="minMax"/>
        </c:scaling>
        <c:delete val="0"/>
        <c:axPos val="b"/>
        <c:majorGridlines/>
        <c:numFmt formatCode="General" sourceLinked="1"/>
        <c:majorTickMark val="out"/>
        <c:minorTickMark val="none"/>
        <c:tickLblPos val="nextTo"/>
        <c:txPr>
          <a:bodyPr rot="-60000000" spcFirstLastPara="0" vertOverflow="ellipsis" vert="horz" wrap="square" anchor="ctr" anchorCtr="1"/>
          <a:lstStyle/>
          <a:p>
            <a:pPr>
              <a:defRPr lang="fr-FR" sz="1000" b="0" i="0" u="none" strike="noStrike" kern="1200" baseline="0">
                <a:solidFill>
                  <a:schemeClr val="tx1"/>
                </a:solidFill>
                <a:latin typeface="+mn-lt"/>
                <a:ea typeface="+mn-ea"/>
                <a:cs typeface="+mn-cs"/>
              </a:defRPr>
            </a:pPr>
            <a:endParaRPr lang="fr-FR"/>
          </a:p>
        </c:txPr>
        <c:crossAx val="152967808"/>
        <c:crosses val="autoZero"/>
        <c:crossBetween val="between"/>
      </c:valAx>
    </c:plotArea>
    <c:legend>
      <c:legendPos val="r"/>
      <c:overlay val="0"/>
      <c:txPr>
        <a:bodyPr rot="0" spcFirstLastPara="0" vertOverflow="ellipsis" vert="horz" wrap="square" anchor="ctr" anchorCtr="1"/>
        <a:lstStyle/>
        <a:p>
          <a:pPr>
            <a:defRPr lang="fr-FR" sz="1000" b="0" i="0" u="none" strike="noStrike" kern="1200" baseline="0">
              <a:solidFill>
                <a:schemeClr val="tx1"/>
              </a:solidFill>
              <a:latin typeface="+mn-lt"/>
              <a:ea typeface="+mn-ea"/>
              <a:cs typeface="+mn-cs"/>
            </a:defRPr>
          </a:pPr>
          <a:endParaRPr lang="fr-FR"/>
        </a:p>
      </c:txPr>
    </c:legend>
    <c:plotVisOnly val="1"/>
    <c:dispBlanksAs val="gap"/>
    <c:showDLblsOverMax val="0"/>
    <c:extLst>
      <c:ext uri="{0b15fc19-7d7d-44ad-8c2d-2c3a37ce22c3}">
        <chartProps xmlns="https://web.wps.cn/et/2018/main" chartId="{75ff0b0e-9c74-4189-a154-48a4a74db4c9}"/>
      </c:ext>
    </c:extLst>
  </c:chart>
  <c:txPr>
    <a:bodyPr/>
    <a:lstStyle/>
    <a:p>
      <a:pPr>
        <a:defRPr lang="fr-F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 2!PivotTable1</c:name>
    <c:fmtId val="0"/>
  </c:pivotSource>
  <c:chart>
    <c:title>
      <c:tx>
        <c:rich>
          <a:bodyPr rot="0" spcFirstLastPara="0" vertOverflow="ellipsis" vert="horz" wrap="square" anchor="ctr" anchorCtr="1"/>
          <a:lstStyle/>
          <a:p>
            <a:pPr defTabSz="914400">
              <a:defRPr lang="fr-FR" sz="1400" b="1" i="0" u="none" strike="noStrike" kern="1200" baseline="0">
                <a:solidFill>
                  <a:schemeClr val="tx1">
                    <a:lumMod val="75000"/>
                    <a:lumOff val="25000"/>
                  </a:schemeClr>
                </a:solidFill>
                <a:latin typeface="+mn-lt"/>
                <a:ea typeface="+mn-ea"/>
                <a:cs typeface="+mn-cs"/>
              </a:defRPr>
            </a:pPr>
            <a:r>
              <a:rPr lang="en-US" altLang="fr-FR"/>
              <a:t>Sales by region</a:t>
            </a:r>
          </a:p>
        </c:rich>
      </c:tx>
      <c:overlay val="0"/>
      <c:spPr>
        <a:noFill/>
        <a:ln>
          <a:noFill/>
        </a:ln>
        <a:effectLst/>
      </c:spPr>
      <c:txPr>
        <a:bodyPr rot="0" spcFirstLastPara="0" vertOverflow="ellipsis" vert="horz" wrap="square" anchor="ctr" anchorCtr="1"/>
        <a:lstStyle/>
        <a:p>
          <a:pPr defTabSz="914400">
            <a:defRPr lang="fr-FR"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ln w="28575" cap="rnd">
            <a:solidFill>
              <a:schemeClr val="tx1"/>
            </a:solidFill>
            <a:round/>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fr-FR" sz="1000" b="0" i="0" u="none" strike="noStrike" kern="1200" baseline="0">
                  <a:solidFill>
                    <a:schemeClr val="bg1"/>
                  </a:solidFill>
                  <a:latin typeface="+mn-lt"/>
                  <a:ea typeface="+mn-ea"/>
                  <a:cs typeface="+mn-cs"/>
                </a:defRPr>
              </a:pPr>
              <a:endParaRPr lang="fr-FR"/>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2'!$B$3</c:f>
              <c:strCache>
                <c:ptCount val="1"/>
                <c:pt idx="0">
                  <c:v>Total</c:v>
                </c:pt>
              </c:strCache>
            </c:strRef>
          </c:tx>
          <c:spPr>
            <a:ln w="28575" cap="rnd">
              <a:solidFill>
                <a:schemeClr val="tx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fr-FR" sz="1000" b="0" i="0" u="none" strike="noStrike" kern="1200" baseline="0">
                    <a:solidFill>
                      <a:schemeClr val="bg1"/>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Dir val="y"/>
            <c:errBarType val="both"/>
            <c:errValType val="stdErr"/>
            <c:noEndCap val="0"/>
            <c:spPr>
              <a:noFill/>
              <a:ln w="9525" cap="flat" cmpd="sng" algn="ctr">
                <a:solidFill>
                  <a:schemeClr val="tx1">
                    <a:lumMod val="65000"/>
                    <a:lumOff val="35000"/>
                  </a:schemeClr>
                </a:solidFill>
                <a:round/>
              </a:ln>
              <a:effectLst/>
            </c:spPr>
          </c:errBars>
          <c:cat>
            <c:strRef>
              <c:f>'PIVOT 2'!$A$4:$A$5</c:f>
              <c:strCache>
                <c:ptCount val="1"/>
                <c:pt idx="0">
                  <c:v>Extreme Nord</c:v>
                </c:pt>
              </c:strCache>
            </c:strRef>
          </c:cat>
          <c:val>
            <c:numRef>
              <c:f>'PIVOT 2'!$B$4:$B$5</c:f>
              <c:numCache>
                <c:formatCode>General</c:formatCode>
                <c:ptCount val="1"/>
                <c:pt idx="0">
                  <c:v>847000</c:v>
                </c:pt>
              </c:numCache>
            </c:numRef>
          </c:val>
          <c:smooth val="0"/>
          <c:extLst>
            <c:ext xmlns:c16="http://schemas.microsoft.com/office/drawing/2014/chart" uri="{C3380CC4-5D6E-409C-BE32-E72D297353CC}">
              <c16:uniqueId val="{00000000-4DE5-4C57-A573-055EC178BCFB}"/>
            </c:ext>
          </c:extLst>
        </c:ser>
        <c:dLbls>
          <c:showLegendKey val="0"/>
          <c:showVal val="1"/>
          <c:showCatName val="0"/>
          <c:showSerName val="0"/>
          <c:showPercent val="0"/>
          <c:showBubbleSize val="0"/>
        </c:dLbls>
        <c:smooth val="0"/>
        <c:axId val="321424384"/>
        <c:axId val="321434368"/>
      </c:lineChart>
      <c:catAx>
        <c:axId val="32142438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fr-FR" sz="900" b="0" i="0" u="none" strike="noStrike" kern="1200" baseline="0">
                <a:solidFill>
                  <a:schemeClr val="bg1"/>
                </a:solidFill>
                <a:latin typeface="+mn-lt"/>
                <a:ea typeface="+mn-ea"/>
                <a:cs typeface="+mn-cs"/>
              </a:defRPr>
            </a:pPr>
            <a:endParaRPr lang="fr-FR"/>
          </a:p>
        </c:txPr>
        <c:crossAx val="321434368"/>
        <c:crosses val="autoZero"/>
        <c:auto val="1"/>
        <c:lblAlgn val="ctr"/>
        <c:lblOffset val="100"/>
        <c:noMultiLvlLbl val="0"/>
      </c:catAx>
      <c:valAx>
        <c:axId val="321434368"/>
        <c:scaling>
          <c:orientation val="minMax"/>
        </c:scaling>
        <c:delete val="1"/>
        <c:axPos val="l"/>
        <c:numFmt formatCode="General" sourceLinked="1"/>
        <c:majorTickMark val="none"/>
        <c:minorTickMark val="none"/>
        <c:tickLblPos val="nextTo"/>
        <c:crossAx val="321424384"/>
        <c:crosses val="autoZero"/>
        <c:crossBetween val="between"/>
      </c:valAx>
      <c:spPr>
        <a:noFill/>
        <a:ln>
          <a:noFill/>
        </a:ln>
        <a:effectLst/>
      </c:spPr>
    </c:plotArea>
    <c:plotVisOnly val="1"/>
    <c:dispBlanksAs val="gap"/>
    <c:showDLblsOverMax val="0"/>
    <c:extLst>
      <c:ext uri="{0b15fc19-7d7d-44ad-8c2d-2c3a37ce22c3}">
        <chartProps xmlns="https://web.wps.cn/et/2018/main" chartId="{6ac42c9f-3ad0-4c92-982b-05b976c796b8}"/>
      </c:ext>
    </c:extLst>
  </c:chart>
  <c:spPr>
    <a:gradFill>
      <a:gsLst>
        <a:gs pos="50000">
          <a:schemeClr val="accent1"/>
        </a:gs>
        <a:gs pos="0">
          <a:schemeClr val="accent1">
            <a:lumMod val="25000"/>
            <a:lumOff val="75000"/>
          </a:schemeClr>
        </a:gs>
        <a:gs pos="100000">
          <a:schemeClr val="accent1">
            <a:lumMod val="85000"/>
          </a:schemeClr>
        </a:gs>
      </a:gsLst>
      <a:lin ang="5400000" scaled="1"/>
    </a:gradFill>
    <a:ln w="9525" cap="flat" cmpd="sng" algn="ctr">
      <a:solidFill>
        <a:srgbClr val="002060"/>
      </a:solidFill>
      <a:round/>
    </a:ln>
    <a:effectLst/>
  </c:spPr>
  <c:txPr>
    <a:bodyPr/>
    <a:lstStyle/>
    <a:p>
      <a:pPr>
        <a:defRPr lang="fr-F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 2!PivotTable2</c:name>
    <c:fmtId val="0"/>
  </c:pivotSource>
  <c:chart>
    <c:title>
      <c:tx>
        <c:rich>
          <a:bodyPr rot="0" spcFirstLastPara="0" vertOverflow="ellipsis" vert="horz" wrap="square" anchor="ctr" anchorCtr="1"/>
          <a:lstStyle/>
          <a:p>
            <a:pPr defTabSz="914400">
              <a:defRPr lang="fr-FR" sz="1400" b="1" i="0" u="none" strike="noStrike" kern="1200" baseline="0">
                <a:solidFill>
                  <a:schemeClr val="tx1">
                    <a:lumMod val="75000"/>
                    <a:lumOff val="25000"/>
                  </a:schemeClr>
                </a:solidFill>
                <a:latin typeface="+mn-lt"/>
                <a:ea typeface="+mn-ea"/>
                <a:cs typeface="+mn-cs"/>
              </a:defRPr>
            </a:pPr>
            <a:r>
              <a:rPr lang="en-US" altLang="fr-FR"/>
              <a:t>Sales by product</a:t>
            </a:r>
          </a:p>
        </c:rich>
      </c:tx>
      <c:overlay val="0"/>
      <c:spPr>
        <a:noFill/>
        <a:ln>
          <a:noFill/>
        </a:ln>
        <a:effectLst/>
      </c:spPr>
      <c:txPr>
        <a:bodyPr rot="0" spcFirstLastPara="0" vertOverflow="ellipsis" vert="horz" wrap="square" anchor="ctr" anchorCtr="1"/>
        <a:lstStyle/>
        <a:p>
          <a:pPr defTabSz="914400">
            <a:defRPr lang="fr-FR"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solidFill>
              <a:schemeClr val="tx1">
                <a:lumMod val="85000"/>
                <a:lumOff val="15000"/>
              </a:schemeClr>
            </a:solid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fr-FR" sz="1000" b="0"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860343539955192E-2"/>
          <c:y val="0.26322701688555344"/>
          <c:w val="0.93427931292008959"/>
          <c:h val="0.62296267844568209"/>
        </c:manualLayout>
      </c:layout>
      <c:barChart>
        <c:barDir val="col"/>
        <c:grouping val="clustered"/>
        <c:varyColors val="0"/>
        <c:ser>
          <c:idx val="0"/>
          <c:order val="0"/>
          <c:tx>
            <c:strRef>
              <c:f>'PIVOT 2'!$E$3</c:f>
              <c:strCache>
                <c:ptCount val="1"/>
                <c:pt idx="0">
                  <c:v>Total</c:v>
                </c:pt>
              </c:strCache>
            </c:strRef>
          </c:tx>
          <c:spPr>
            <a:solidFill>
              <a:schemeClr val="accent1"/>
            </a:solidFill>
            <a:ln>
              <a:solidFill>
                <a:schemeClr val="tx1">
                  <a:lumMod val="85000"/>
                  <a:lumOff val="15000"/>
                </a:schemeClr>
              </a:solidFill>
            </a:ln>
            <a:effectLst/>
          </c:spPr>
          <c:invertIfNegative val="0"/>
          <c:dLbls>
            <c:spPr>
              <a:noFill/>
              <a:ln>
                <a:noFill/>
              </a:ln>
              <a:effectLst/>
            </c:spPr>
            <c:txPr>
              <a:bodyPr rot="0" spcFirstLastPara="0" vertOverflow="ellipsis" vert="horz" wrap="square" lIns="38100" tIns="19050" rIns="38100" bIns="19050" anchor="ctr" anchorCtr="1"/>
              <a:lstStyle/>
              <a:p>
                <a:pPr>
                  <a:defRPr lang="fr-FR" sz="1000" b="0" i="0" u="none" strike="noStrike" kern="1200" baseline="0">
                    <a:solidFill>
                      <a:schemeClr val="bg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2'!$D$4:$D$8</c:f>
              <c:strCache>
                <c:ptCount val="4"/>
                <c:pt idx="0">
                  <c:v>bikes</c:v>
                </c:pt>
                <c:pt idx="1">
                  <c:v>camera</c:v>
                </c:pt>
                <c:pt idx="2">
                  <c:v>laptop</c:v>
                </c:pt>
                <c:pt idx="3">
                  <c:v>Phones</c:v>
                </c:pt>
              </c:strCache>
            </c:strRef>
          </c:cat>
          <c:val>
            <c:numRef>
              <c:f>'PIVOT 2'!$E$4:$E$8</c:f>
              <c:numCache>
                <c:formatCode>General</c:formatCode>
                <c:ptCount val="4"/>
                <c:pt idx="0">
                  <c:v>535000</c:v>
                </c:pt>
                <c:pt idx="1">
                  <c:v>120000</c:v>
                </c:pt>
                <c:pt idx="2">
                  <c:v>130000</c:v>
                </c:pt>
                <c:pt idx="3">
                  <c:v>62000</c:v>
                </c:pt>
              </c:numCache>
            </c:numRef>
          </c:val>
          <c:extLst>
            <c:ext xmlns:c16="http://schemas.microsoft.com/office/drawing/2014/chart" uri="{C3380CC4-5D6E-409C-BE32-E72D297353CC}">
              <c16:uniqueId val="{00000000-D9D0-41A5-81F7-C51E4CC68AF1}"/>
            </c:ext>
          </c:extLst>
        </c:ser>
        <c:dLbls>
          <c:showLegendKey val="0"/>
          <c:showVal val="1"/>
          <c:showCatName val="0"/>
          <c:showSerName val="0"/>
          <c:showPercent val="0"/>
          <c:showBubbleSize val="0"/>
        </c:dLbls>
        <c:gapWidth val="246"/>
        <c:overlap val="-28"/>
        <c:axId val="321449984"/>
        <c:axId val="321452672"/>
      </c:barChart>
      <c:catAx>
        <c:axId val="32144998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fr-FR" sz="900" b="0" i="0" u="none" strike="noStrike" kern="1200" baseline="0">
                <a:solidFill>
                  <a:schemeClr val="bg1"/>
                </a:solidFill>
                <a:latin typeface="+mn-lt"/>
                <a:ea typeface="+mn-ea"/>
                <a:cs typeface="+mn-cs"/>
              </a:defRPr>
            </a:pPr>
            <a:endParaRPr lang="fr-FR"/>
          </a:p>
        </c:txPr>
        <c:crossAx val="321452672"/>
        <c:crosses val="autoZero"/>
        <c:auto val="1"/>
        <c:lblAlgn val="ctr"/>
        <c:lblOffset val="100"/>
        <c:noMultiLvlLbl val="0"/>
      </c:catAx>
      <c:valAx>
        <c:axId val="321452672"/>
        <c:scaling>
          <c:orientation val="minMax"/>
        </c:scaling>
        <c:delete val="1"/>
        <c:axPos val="l"/>
        <c:numFmt formatCode="General" sourceLinked="1"/>
        <c:majorTickMark val="none"/>
        <c:minorTickMark val="none"/>
        <c:tickLblPos val="nextTo"/>
        <c:crossAx val="321449984"/>
        <c:crosses val="autoZero"/>
        <c:crossBetween val="between"/>
      </c:valAx>
      <c:spPr>
        <a:noFill/>
        <a:ln>
          <a:noFill/>
        </a:ln>
        <a:effectLst/>
      </c:spPr>
    </c:plotArea>
    <c:plotVisOnly val="1"/>
    <c:dispBlanksAs val="gap"/>
    <c:showDLblsOverMax val="0"/>
    <c:extLst>
      <c:ext uri="{0b15fc19-7d7d-44ad-8c2d-2c3a37ce22c3}">
        <chartProps xmlns="https://web.wps.cn/et/2018/main" chartId="{7a91ec28-f85f-4bc3-a88a-850c292f89f9}"/>
      </c:ext>
    </c:extLst>
  </c:chart>
  <c:spPr>
    <a:gradFill>
      <a:gsLst>
        <a:gs pos="50000">
          <a:schemeClr val="accent1"/>
        </a:gs>
        <a:gs pos="0">
          <a:schemeClr val="accent1">
            <a:lumMod val="25000"/>
            <a:lumOff val="75000"/>
          </a:schemeClr>
        </a:gs>
        <a:gs pos="100000">
          <a:schemeClr val="accent1">
            <a:lumMod val="85000"/>
          </a:schemeClr>
        </a:gs>
      </a:gsLst>
      <a:lin ang="5400000" scaled="1"/>
    </a:gradFill>
    <a:ln w="9525" cap="flat" cmpd="sng" algn="ctr">
      <a:solidFill>
        <a:schemeClr val="tx1">
          <a:lumMod val="15000"/>
          <a:lumOff val="85000"/>
        </a:schemeClr>
      </a:solidFill>
      <a:round/>
    </a:ln>
    <a:effectLst/>
  </c:spPr>
  <c:txPr>
    <a:bodyPr/>
    <a:lstStyle/>
    <a:p>
      <a:pPr>
        <a:defRPr lang="fr-F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 2!PivotTable5</c:name>
    <c:fmtId val="0"/>
  </c:pivotSource>
  <c:chart>
    <c:title>
      <c:tx>
        <c:rich>
          <a:bodyPr rot="0" spcFirstLastPara="0" vertOverflow="ellipsis" vert="horz" wrap="square" anchor="ctr" anchorCtr="1"/>
          <a:lstStyle/>
          <a:p>
            <a:pPr defTabSz="914400">
              <a:defRPr lang="fr-FR" sz="1400" b="1" i="0" u="none" strike="noStrike" kern="1200" baseline="0">
                <a:solidFill>
                  <a:sysClr val="windowText" lastClr="000000"/>
                </a:solidFill>
                <a:latin typeface="+mn-lt"/>
                <a:ea typeface="+mn-ea"/>
                <a:cs typeface="+mn-cs"/>
              </a:defRPr>
            </a:pPr>
            <a:r>
              <a:rPr lang="en-US" altLang="fr-FR">
                <a:solidFill>
                  <a:sysClr val="windowText" lastClr="000000"/>
                </a:solidFill>
                <a:latin typeface="+mn-lt"/>
                <a:ea typeface="+mn-ea"/>
                <a:cs typeface="+mn-cs"/>
              </a:rPr>
              <a:t>Profits by region</a:t>
            </a:r>
          </a:p>
        </c:rich>
      </c:tx>
      <c:overlay val="0"/>
      <c:spPr>
        <a:noFill/>
        <a:ln>
          <a:noFill/>
        </a:ln>
        <a:effectLst/>
      </c:spPr>
      <c:txPr>
        <a:bodyPr rot="0" spcFirstLastPara="0" vertOverflow="ellipsis" vert="horz" wrap="square" anchor="ctr" anchorCtr="1"/>
        <a:lstStyle/>
        <a:p>
          <a:pPr defTabSz="914400">
            <a:defRPr lang="fr-FR" sz="14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0" vertOverflow="ellipsis" vert="horz" wrap="square" lIns="38100" tIns="19050" rIns="38100" bIns="19050" anchor="ctr" anchorCtr="1"/>
            <a:lstStyle/>
            <a:p>
              <a:pPr>
                <a:defRPr lang="fr-FR" sz="1000" b="0" i="0" u="none" strike="noStrike" kern="1200" baseline="0">
                  <a:solidFill>
                    <a:schemeClr val="lt1"/>
                  </a:solidFill>
                  <a:latin typeface="+mn-lt"/>
                  <a:ea typeface="+mn-ea"/>
                  <a:cs typeface="+mn-cs"/>
                </a:defRPr>
              </a:pPr>
              <a:endParaRPr lang="fr-F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2'!$O$3</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fr-FR" sz="1000" b="0" i="0" u="none" strike="noStrike" kern="1200" baseline="0">
                    <a:solidFill>
                      <a:schemeClr val="lt1"/>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2'!$N$4:$N$5</c:f>
              <c:strCache>
                <c:ptCount val="1"/>
                <c:pt idx="0">
                  <c:v>Extreme Nord</c:v>
                </c:pt>
              </c:strCache>
            </c:strRef>
          </c:cat>
          <c:val>
            <c:numRef>
              <c:f>'PIVOT 2'!$O$4:$O$5</c:f>
              <c:numCache>
                <c:formatCode>General</c:formatCode>
                <c:ptCount val="1"/>
                <c:pt idx="0">
                  <c:v>55000</c:v>
                </c:pt>
              </c:numCache>
            </c:numRef>
          </c:val>
          <c:extLst>
            <c:ext xmlns:c16="http://schemas.microsoft.com/office/drawing/2014/chart" uri="{C3380CC4-5D6E-409C-BE32-E72D297353CC}">
              <c16:uniqueId val="{00000000-1A6A-44F1-BA17-A6BBF5124636}"/>
            </c:ext>
          </c:extLst>
        </c:ser>
        <c:dLbls>
          <c:showLegendKey val="0"/>
          <c:showVal val="1"/>
          <c:showCatName val="0"/>
          <c:showSerName val="0"/>
          <c:showPercent val="0"/>
          <c:showBubbleSize val="0"/>
        </c:dLbls>
        <c:gapWidth val="140"/>
        <c:overlap val="-40"/>
        <c:axId val="243029504"/>
        <c:axId val="243032448"/>
      </c:barChart>
      <c:catAx>
        <c:axId val="243029504"/>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fr-FR" sz="900" b="0" i="0" u="none" strike="noStrike" kern="1200" baseline="0">
                <a:solidFill>
                  <a:schemeClr val="lt1"/>
                </a:solidFill>
                <a:latin typeface="+mn-lt"/>
                <a:ea typeface="+mn-ea"/>
                <a:cs typeface="+mn-cs"/>
              </a:defRPr>
            </a:pPr>
            <a:endParaRPr lang="fr-FR"/>
          </a:p>
        </c:txPr>
        <c:crossAx val="243032448"/>
        <c:crosses val="autoZero"/>
        <c:auto val="1"/>
        <c:lblAlgn val="ctr"/>
        <c:lblOffset val="100"/>
        <c:noMultiLvlLbl val="0"/>
      </c:catAx>
      <c:valAx>
        <c:axId val="243032448"/>
        <c:scaling>
          <c:orientation val="minMax"/>
        </c:scaling>
        <c:delete val="1"/>
        <c:axPos val="b"/>
        <c:numFmt formatCode="General" sourceLinked="1"/>
        <c:majorTickMark val="none"/>
        <c:minorTickMark val="none"/>
        <c:tickLblPos val="nextTo"/>
        <c:crossAx val="243029504"/>
        <c:crosses val="autoZero"/>
        <c:crossBetween val="between"/>
      </c:valAx>
      <c:spPr>
        <a:noFill/>
        <a:ln>
          <a:noFill/>
        </a:ln>
        <a:effectLst/>
      </c:spPr>
    </c:plotArea>
    <c:plotVisOnly val="1"/>
    <c:dispBlanksAs val="gap"/>
    <c:showDLblsOverMax val="0"/>
    <c:extLst>
      <c:ext uri="{0b15fc19-7d7d-44ad-8c2d-2c3a37ce22c3}">
        <chartProps xmlns="https://web.wps.cn/et/2018/main" chartId="{7955767b-3064-40cb-891e-4137f977169a}"/>
      </c:ext>
    </c:extLst>
  </c:chart>
  <c:spPr>
    <a:gradFill>
      <a:gsLst>
        <a:gs pos="50000">
          <a:schemeClr val="accent1"/>
        </a:gs>
        <a:gs pos="0">
          <a:schemeClr val="accent1">
            <a:lumMod val="25000"/>
            <a:lumOff val="75000"/>
          </a:schemeClr>
        </a:gs>
        <a:gs pos="100000">
          <a:schemeClr val="accent1">
            <a:lumMod val="85000"/>
          </a:schemeClr>
        </a:gs>
      </a:gsLst>
      <a:lin ang="5400000" scaled="1"/>
    </a:gradFill>
    <a:ln w="25400" cap="flat" cmpd="sng" algn="ctr">
      <a:solidFill>
        <a:schemeClr val="lt1"/>
      </a:solidFill>
      <a:prstDash val="solid"/>
      <a:round/>
    </a:ln>
    <a:effectLst>
      <a:outerShdw blurRad="40000" dist="20000" dir="5400000" rotWithShape="0">
        <a:srgbClr val="000000">
          <a:alpha val="38000"/>
        </a:srgbClr>
      </a:outerShdw>
    </a:effectLst>
    <a:sp3d>
      <a:extrusionClr>
        <a:srgbClr val="FFFFFF"/>
      </a:extrusionClr>
      <a:contourClr>
        <a:srgbClr val="FFFFFF"/>
      </a:contourClr>
    </a:sp3d>
  </c:spPr>
  <c:txPr>
    <a:bodyPr/>
    <a:lstStyle/>
    <a:p>
      <a:pPr>
        <a:defRPr lang="fr-FR">
          <a:solidFill>
            <a:schemeClr val="lt1"/>
          </a:solidFill>
          <a:latin typeface="+mn-lt"/>
          <a:ea typeface="+mn-ea"/>
          <a:cs typeface="+mn-cs"/>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report.xlsx]PIVOT 2!PivotTable6</c:name>
    <c:fmtId val="0"/>
  </c:pivotSource>
  <c:chart>
    <c:title>
      <c:tx>
        <c:rich>
          <a:bodyPr rot="0" spcFirstLastPara="0" vertOverflow="ellipsis" vert="horz" wrap="square" anchor="ctr" anchorCtr="1"/>
          <a:lstStyle/>
          <a:p>
            <a:pPr defTabSz="914400">
              <a:defRPr lang="fr-FR" sz="1400" b="1" i="0" u="none" strike="noStrike" kern="1200" baseline="0">
                <a:solidFill>
                  <a:schemeClr val="tx1">
                    <a:lumMod val="75000"/>
                    <a:lumOff val="25000"/>
                  </a:schemeClr>
                </a:solidFill>
                <a:latin typeface="+mn-lt"/>
                <a:ea typeface="+mn-ea"/>
                <a:cs typeface="+mn-cs"/>
              </a:defRPr>
            </a:pPr>
            <a:r>
              <a:rPr lang="fr-FR"/>
              <a:t>Profits by product</a:t>
            </a:r>
          </a:p>
        </c:rich>
      </c:tx>
      <c:overlay val="0"/>
      <c:spPr>
        <a:noFill/>
        <a:ln>
          <a:noFill/>
        </a:ln>
        <a:effectLst/>
      </c:spPr>
    </c:title>
    <c:autoTitleDeleted val="0"/>
    <c:pivotFmts>
      <c:pivotFmt>
        <c:idx val="0"/>
        <c:spPr>
          <a:scene3d>
            <a:camera prst="orthographicFront"/>
            <a:lightRig rig="threePt" dir="t"/>
          </a:scene3d>
          <a:sp3d contourW="9525"/>
        </c:spPr>
        <c:marker>
          <c:symbol val="none"/>
        </c:marker>
        <c:dLbl>
          <c:idx val="0"/>
          <c:spPr>
            <a:noFill/>
            <a:ln>
              <a:noFill/>
            </a:ln>
            <a:effectLst/>
          </c:spPr>
          <c:txPr>
            <a:bodyPr rot="0" spcFirstLastPara="0" vertOverflow="ellipsis" vert="horz" wrap="square" lIns="38100" tIns="19050" rIns="38100" bIns="19050" anchor="ctr" anchorCtr="1"/>
            <a:lstStyle/>
            <a:p>
              <a:pPr>
                <a:defRPr lang="fr-FR" sz="1000" b="1" i="0" u="none" strike="noStrike" kern="1200" spc="0" baseline="0">
                  <a:solidFill>
                    <a:schemeClr val="bg1"/>
                  </a:solidFill>
                  <a:latin typeface="+mn-lt"/>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solidFill>
              <a:schemeClr val="bg1"/>
            </a:solidFill>
          </a:ln>
          <a:effectLst/>
        </c:spPr>
      </c:pivotFmt>
      <c:pivotFmt>
        <c:idx val="2"/>
        <c:spPr>
          <a:solidFill>
            <a:schemeClr val="accent2"/>
          </a:solidFill>
          <a:ln>
            <a:solidFill>
              <a:schemeClr val="bg1"/>
            </a:solidFill>
          </a:ln>
          <a:effectLst/>
        </c:spPr>
      </c:pivotFmt>
      <c:pivotFmt>
        <c:idx val="3"/>
        <c:spPr>
          <a:solidFill>
            <a:schemeClr val="accent3"/>
          </a:solidFill>
          <a:ln>
            <a:solidFill>
              <a:schemeClr val="bg1"/>
            </a:solidFill>
          </a:ln>
          <a:effectLst/>
        </c:spPr>
      </c:pivotFmt>
      <c:pivotFmt>
        <c:idx val="4"/>
        <c:spPr>
          <a:solidFill>
            <a:schemeClr val="accent4"/>
          </a:solidFill>
          <a:ln>
            <a:solidFill>
              <a:schemeClr val="bg1"/>
            </a:solidFill>
          </a:ln>
          <a:effectLst/>
        </c:spPr>
      </c:pivotFmt>
      <c:pivotFmt>
        <c:idx val="5"/>
        <c:spPr>
          <a:solidFill>
            <a:schemeClr val="accent5"/>
          </a:solidFill>
          <a:ln>
            <a:solidFill>
              <a:schemeClr val="bg1"/>
            </a:solidFill>
          </a:ln>
          <a:effectLst/>
        </c:spPr>
      </c:pivotFmt>
      <c:pivotFmt>
        <c:idx val="6"/>
        <c:spPr>
          <a:solidFill>
            <a:schemeClr val="accent6"/>
          </a:solidFill>
          <a:ln>
            <a:solidFill>
              <a:schemeClr val="bg1"/>
            </a:solidFill>
          </a:ln>
          <a:effectLst/>
        </c:spPr>
      </c:pivotFmt>
      <c:pivotFmt>
        <c:idx val="7"/>
        <c:spPr>
          <a:solidFill>
            <a:schemeClr val="accent1">
              <a:lumMod val="60000"/>
            </a:schemeClr>
          </a:solidFill>
          <a:ln>
            <a:solidFill>
              <a:schemeClr val="bg1"/>
            </a:solidFill>
          </a:ln>
          <a:effectLst/>
        </c:spPr>
      </c:pivotFmt>
    </c:pivotFmts>
    <c:view3D>
      <c:rotX val="30"/>
      <c:rotY val="0"/>
      <c:depthPercent val="100"/>
      <c:rAngAx val="0"/>
    </c:view3D>
    <c:floor>
      <c:thickness val="0"/>
      <c:spPr>
        <a:noFill/>
        <a:effectLst/>
      </c:spPr>
    </c:floor>
    <c:sideWall>
      <c:thickness val="0"/>
      <c:spPr>
        <a:noFill/>
        <a:effectLst/>
      </c:spPr>
    </c:sideWall>
    <c:backWall>
      <c:thickness val="0"/>
      <c:spPr>
        <a:noFill/>
        <a:effectLst/>
      </c:spPr>
    </c:backWall>
    <c:plotArea>
      <c:layout/>
      <c:pie3DChart>
        <c:varyColors val="1"/>
        <c:ser>
          <c:idx val="0"/>
          <c:order val="0"/>
          <c:tx>
            <c:strRef>
              <c:f>'PIVOT 2'!$R$3</c:f>
              <c:strCache>
                <c:ptCount val="1"/>
                <c:pt idx="0">
                  <c:v>Total</c:v>
                </c:pt>
              </c:strCache>
            </c:strRef>
          </c:tx>
          <c:spPr>
            <a:scene3d>
              <a:camera prst="orthographicFront"/>
              <a:lightRig rig="threePt" dir="t"/>
            </a:scene3d>
            <a:sp3d contourW="9525"/>
          </c:spPr>
          <c:dPt>
            <c:idx val="0"/>
            <c:bubble3D val="0"/>
            <c:spPr>
              <a:solidFill>
                <a:schemeClr val="accent1"/>
              </a:solidFill>
              <a:ln>
                <a:solidFill>
                  <a:schemeClr val="bg1"/>
                </a:solidFill>
              </a:ln>
              <a:effectLst/>
            </c:spPr>
            <c:extLst>
              <c:ext xmlns:c16="http://schemas.microsoft.com/office/drawing/2014/chart" uri="{C3380CC4-5D6E-409C-BE32-E72D297353CC}">
                <c16:uniqueId val="{00000001-2FC3-4B47-A633-7644BBC270BC}"/>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2FC3-4B47-A633-7644BBC270BC}"/>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5-2FC3-4B47-A633-7644BBC270BC}"/>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7-2FC3-4B47-A633-7644BBC270BC}"/>
              </c:ext>
            </c:extLst>
          </c:dPt>
          <c:dPt>
            <c:idx val="4"/>
            <c:bubble3D val="0"/>
            <c:extLst>
              <c:ext xmlns:c16="http://schemas.microsoft.com/office/drawing/2014/chart" uri="{C3380CC4-5D6E-409C-BE32-E72D297353CC}">
                <c16:uniqueId val="{00000009-2FC3-4B47-A633-7644BBC270BC}"/>
              </c:ext>
            </c:extLst>
          </c:dPt>
          <c:dPt>
            <c:idx val="5"/>
            <c:bubble3D val="0"/>
            <c:extLst>
              <c:ext xmlns:c16="http://schemas.microsoft.com/office/drawing/2014/chart" uri="{C3380CC4-5D6E-409C-BE32-E72D297353CC}">
                <c16:uniqueId val="{0000000B-2FC3-4B47-A633-7644BBC270BC}"/>
              </c:ext>
            </c:extLst>
          </c:dPt>
          <c:dPt>
            <c:idx val="6"/>
            <c:bubble3D val="0"/>
            <c:extLst>
              <c:ext xmlns:c16="http://schemas.microsoft.com/office/drawing/2014/chart" uri="{C3380CC4-5D6E-409C-BE32-E72D297353CC}">
                <c16:uniqueId val="{0000000D-2FC3-4B47-A633-7644BBC270BC}"/>
              </c:ext>
            </c:extLst>
          </c:dPt>
          <c:dLbls>
            <c:spPr>
              <a:noFill/>
              <a:ln>
                <a:noFill/>
              </a:ln>
              <a:effectLst/>
            </c:spPr>
            <c:txPr>
              <a:bodyPr rot="0" spcFirstLastPara="0" vertOverflow="ellipsis" vert="horz" wrap="square" lIns="38100" tIns="19050" rIns="38100" bIns="19050" anchor="ctr" anchorCtr="1"/>
              <a:lstStyle/>
              <a:p>
                <a:pPr>
                  <a:defRPr lang="fr-FR" sz="1000" b="1" i="0" u="none" strike="noStrike" kern="1200" spc="0" baseline="0">
                    <a:solidFill>
                      <a:schemeClr val="bg1"/>
                    </a:solidFill>
                    <a:latin typeface="+mn-lt"/>
                    <a:ea typeface="+mn-ea"/>
                    <a:cs typeface="+mn-cs"/>
                  </a:defRPr>
                </a:pPr>
                <a:endParaRPr lang="fr-FR"/>
              </a:p>
            </c:txPr>
            <c:showLegendKey val="0"/>
            <c:showVal val="0"/>
            <c:showCatName val="1"/>
            <c:showSerName val="0"/>
            <c:showPercent val="1"/>
            <c:showBubbleSize val="0"/>
            <c:showLeaderLines val="1"/>
            <c:extLst>
              <c:ext xmlns:c15="http://schemas.microsoft.com/office/drawing/2012/chart" uri="{CE6537A1-D6FC-4f65-9D91-7224C49458BB}"/>
            </c:extLst>
          </c:dLbls>
          <c:cat>
            <c:strRef>
              <c:f>'PIVOT 2'!$Q$4:$Q$8</c:f>
              <c:strCache>
                <c:ptCount val="4"/>
                <c:pt idx="0">
                  <c:v>bikes</c:v>
                </c:pt>
                <c:pt idx="1">
                  <c:v>camera</c:v>
                </c:pt>
                <c:pt idx="2">
                  <c:v>laptop</c:v>
                </c:pt>
                <c:pt idx="3">
                  <c:v>Phones</c:v>
                </c:pt>
              </c:strCache>
            </c:strRef>
          </c:cat>
          <c:val>
            <c:numRef>
              <c:f>'PIVOT 2'!$R$4:$R$8</c:f>
              <c:numCache>
                <c:formatCode>General</c:formatCode>
                <c:ptCount val="4"/>
                <c:pt idx="0">
                  <c:v>35000</c:v>
                </c:pt>
                <c:pt idx="1">
                  <c:v>10000</c:v>
                </c:pt>
                <c:pt idx="2">
                  <c:v>5000</c:v>
                </c:pt>
                <c:pt idx="3">
                  <c:v>5000</c:v>
                </c:pt>
              </c:numCache>
            </c:numRef>
          </c:val>
          <c:extLst>
            <c:ext xmlns:c16="http://schemas.microsoft.com/office/drawing/2014/chart" uri="{C3380CC4-5D6E-409C-BE32-E72D297353CC}">
              <c16:uniqueId val="{0000000E-2FC3-4B47-A633-7644BBC270BC}"/>
            </c:ext>
          </c:extLst>
        </c:ser>
        <c:dLbls>
          <c:showLegendKey val="0"/>
          <c:showVal val="0"/>
          <c:showCatName val="1"/>
          <c:showSerName val="0"/>
          <c:showPercent val="1"/>
          <c:showBubbleSize val="0"/>
          <c:showLeaderLines val="1"/>
        </c:dLbls>
      </c:pie3DChart>
      <c:spPr>
        <a:noFill/>
        <a:ln>
          <a:noFill/>
        </a:ln>
        <a:effectLst/>
      </c:spPr>
    </c:plotArea>
    <c:plotVisOnly val="1"/>
    <c:dispBlanksAs val="gap"/>
    <c:showDLblsOverMax val="0"/>
    <c:extLst>
      <c:ext uri="{0b15fc19-7d7d-44ad-8c2d-2c3a37ce22c3}">
        <chartProps xmlns="https://web.wps.cn/et/2018/main" chartId="{ba34e5d9-8e04-47e5-afc5-70be3a1a4d13}"/>
      </c:ext>
    </c:extLst>
  </c:chart>
  <c:spPr>
    <a:gradFill>
      <a:gsLst>
        <a:gs pos="50000">
          <a:schemeClr val="accent1"/>
        </a:gs>
        <a:gs pos="0">
          <a:schemeClr val="accent1">
            <a:lumMod val="25000"/>
            <a:lumOff val="75000"/>
          </a:schemeClr>
        </a:gs>
        <a:gs pos="100000">
          <a:schemeClr val="accent1">
            <a:lumMod val="85000"/>
          </a:schemeClr>
        </a:gs>
      </a:gsLst>
      <a:lin ang="5400000" scaled="1"/>
    </a:gradFill>
    <a:ln w="9525" cap="flat" cmpd="sng" algn="ctr">
      <a:solidFill>
        <a:schemeClr val="tx1">
          <a:lumMod val="15000"/>
          <a:lumOff val="85000"/>
        </a:schemeClr>
      </a:solidFill>
      <a:round/>
    </a:ln>
    <a:effectLst/>
  </c:spPr>
  <c:txPr>
    <a:bodyPr/>
    <a:lstStyle/>
    <a:p>
      <a:pPr>
        <a:defRPr lang="fr-F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704850</xdr:colOff>
      <xdr:row>14</xdr:row>
      <xdr:rowOff>95250</xdr:rowOff>
    </xdr:from>
    <xdr:to>
      <xdr:col>13</xdr:col>
      <xdr:colOff>104775</xdr:colOff>
      <xdr:row>28</xdr:row>
      <xdr:rowOff>171450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600075</xdr:colOff>
      <xdr:row>14</xdr:row>
      <xdr:rowOff>57150</xdr:rowOff>
    </xdr:from>
    <xdr:to>
      <xdr:col>5</xdr:col>
      <xdr:colOff>485775</xdr:colOff>
      <xdr:row>28</xdr:row>
      <xdr:rowOff>133350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2</xdr:row>
      <xdr:rowOff>180975</xdr:rowOff>
    </xdr:from>
    <xdr:to>
      <xdr:col>7</xdr:col>
      <xdr:colOff>84455</xdr:colOff>
      <xdr:row>14</xdr:row>
      <xdr:rowOff>29210</xdr:rowOff>
    </xdr:to>
    <xdr:graphicFrame macro="">
      <xdr:nvGraphicFramePr>
        <xdr:cNvPr id="2" name="Graphique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117475</xdr:colOff>
      <xdr:row>3</xdr:row>
      <xdr:rowOff>32385</xdr:rowOff>
    </xdr:from>
    <xdr:to>
      <xdr:col>14</xdr:col>
      <xdr:colOff>48260</xdr:colOff>
      <xdr:row>14</xdr:row>
      <xdr:rowOff>51435</xdr:rowOff>
    </xdr:to>
    <xdr:graphicFrame macro="">
      <xdr:nvGraphicFramePr>
        <xdr:cNvPr id="4" name="Graphique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14</xdr:row>
      <xdr:rowOff>104775</xdr:rowOff>
    </xdr:from>
    <xdr:to>
      <xdr:col>7</xdr:col>
      <xdr:colOff>102235</xdr:colOff>
      <xdr:row>29</xdr:row>
      <xdr:rowOff>85725</xdr:rowOff>
    </xdr:to>
    <xdr:graphicFrame macro="">
      <xdr:nvGraphicFramePr>
        <xdr:cNvPr id="5" name="Graphique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125730</xdr:colOff>
      <xdr:row>14</xdr:row>
      <xdr:rowOff>125730</xdr:rowOff>
    </xdr:from>
    <xdr:to>
      <xdr:col>14</xdr:col>
      <xdr:colOff>75565</xdr:colOff>
      <xdr:row>29</xdr:row>
      <xdr:rowOff>144780</xdr:rowOff>
    </xdr:to>
    <xdr:graphicFrame macro="">
      <xdr:nvGraphicFramePr>
        <xdr:cNvPr id="6" name="Graphique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83820</xdr:colOff>
      <xdr:row>0</xdr:row>
      <xdr:rowOff>114300</xdr:rowOff>
    </xdr:from>
    <xdr:to>
      <xdr:col>17</xdr:col>
      <xdr:colOff>60960</xdr:colOff>
      <xdr:row>10</xdr:row>
      <xdr:rowOff>91440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684332A1-D317-3CE4-C822-F5F4BFE3D4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724900" y="114300"/>
              <a:ext cx="1828800" cy="220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76200</xdr:colOff>
      <xdr:row>1</xdr:row>
      <xdr:rowOff>7620</xdr:rowOff>
    </xdr:from>
    <xdr:to>
      <xdr:col>4</xdr:col>
      <xdr:colOff>45720</xdr:colOff>
      <xdr:row>2</xdr:row>
      <xdr:rowOff>7620</xdr:rowOff>
    </xdr:to>
    <xdr:pic>
      <xdr:nvPicPr>
        <xdr:cNvPr id="8" name="Graphic 7" descr="Bar graph with downward trend with solid fill">
          <a:extLst>
            <a:ext uri="{FF2B5EF4-FFF2-40B4-BE49-F238E27FC236}">
              <a16:creationId xmlns:a16="http://schemas.microsoft.com/office/drawing/2014/main" id="{45000F48-77A8-49A3-B4EA-C9FE209AC94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27860" y="190500"/>
          <a:ext cx="586740" cy="5867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SAMANTHA" refreshedDate="45902.552225810199" createdVersion="4" refreshedVersion="4" minRefreshableVersion="3" recordCount="31" xr:uid="{00000000-000A-0000-FFFF-FFFF08000000}">
  <cacheSource type="worksheet">
    <worksheetSource name="Table1"/>
  </cacheSource>
  <cacheFields count="7">
    <cacheField name="Date" numFmtId="14">
      <sharedItems containsSemiMixedTypes="0" containsNonDate="0" containsDate="1" containsString="0" minDate="2021-01-01T00:00:00" maxDate="2021-01-31T00:00:00" count="31">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sharedItems>
    </cacheField>
    <cacheField name="Region" numFmtId="0">
      <sharedItems count="7">
        <s v="Littoral"/>
        <s v="Centre"/>
        <s v="Nord Ouest"/>
        <s v="Sud Ouest"/>
        <s v="Adamaou"/>
        <s v="Ouest"/>
        <s v="Extreme Nord"/>
      </sharedItems>
    </cacheField>
    <cacheField name="Product" numFmtId="0">
      <sharedItems count="6">
        <s v="Phones"/>
        <s v="cars"/>
        <s v="camera"/>
        <s v="laptop"/>
        <s v="bikes"/>
        <s v="casquettes"/>
      </sharedItems>
    </cacheField>
    <cacheField name="Unit_Sold" numFmtId="0">
      <sharedItems containsSemiMixedTypes="0" containsNonDate="0" containsString="0"/>
    </cacheField>
    <cacheField name="Unit_Price" numFmtId="164">
      <sharedItems containsSemiMixedTypes="0" containsNonDate="0" containsString="0"/>
    </cacheField>
    <cacheField name="Sales" numFmtId="164">
      <sharedItems containsSemiMixedTypes="0" containsNonDate="0" containsString="0"/>
    </cacheField>
    <cacheField name="Profits" numFmtId="164">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SAMANTHA" refreshedDate="45912.830429166701" createdVersion="4" refreshedVersion="4" minRefreshableVersion="3" recordCount="31" xr:uid="{00000000-000A-0000-FFFF-FFFF09000000}">
  <cacheSource type="worksheet">
    <worksheetSource name="Table14"/>
  </cacheSource>
  <cacheFields count="7">
    <cacheField name="Date" numFmtId="14">
      <sharedItems containsNonDate="0" containsDate="1" containsString="0" containsBlank="1" minDate="2021-01-01T00:00:00" maxDate="2021-01-31T00:00:00" count="32">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m/>
      </sharedItems>
    </cacheField>
    <cacheField name="Region" numFmtId="0">
      <sharedItems containsBlank="1" count="8">
        <s v="Littoral"/>
        <s v="Centre"/>
        <s v="Nord Ouest"/>
        <s v="Sud Ouest"/>
        <s v="Adamaou"/>
        <s v="Ouest"/>
        <s v="Extreme Nord"/>
        <m/>
      </sharedItems>
    </cacheField>
    <cacheField name="Product" numFmtId="0">
      <sharedItems count="7">
        <s v="Phones"/>
        <s v="cars"/>
        <s v="camera"/>
        <s v="laptop"/>
        <s v="bikes"/>
        <s v="casquettes"/>
        <s v="Totals:"/>
      </sharedItems>
    </cacheField>
    <cacheField name="Unit_Sold" numFmtId="0">
      <sharedItems containsSemiMixedTypes="0" containsNonDate="0" containsString="0" containsNumber="1" containsInteger="1" minValue="1" maxValue="20"/>
    </cacheField>
    <cacheField name="Unit_Price" numFmtId="164">
      <sharedItems containsSemiMixedTypes="0" containsNonDate="0" containsString="0" containsNumber="1" containsInteger="1" minValue="2000" maxValue="5999999"/>
    </cacheField>
    <cacheField name="Sales" numFmtId="164">
      <sharedItems containsSemiMixedTypes="0" containsNonDate="0" containsString="0" containsNumber="1" containsInteger="1" minValue="2500" maxValue="6000000"/>
    </cacheField>
    <cacheField name="Profits" numFmtId="164">
      <sharedItems containsSemiMixedTypes="0" containsNonDate="0" containsString="0" containsNumber="1" containsInteger="1" minValue="1" maxValue="300000"/>
    </cacheField>
  </cacheFields>
  <extLst>
    <ext xmlns:x14="http://schemas.microsoft.com/office/spreadsheetml/2009/9/main" uri="{725AE2AE-9491-48be-B2B4-4EB974FC3084}">
      <x14:pivotCacheDefinition pivotCacheId="1989678206"/>
    </ext>
  </extLst>
</pivotCacheDefinition>
</file>

<file path=xl/pivotCache/pivotCacheRecords1.xml><?xml version="1.0" encoding="utf-8"?>
<pivotCacheRecords xmlns="http://schemas.openxmlformats.org/spreadsheetml/2006/main" xmlns:r="http://schemas.openxmlformats.org/officeDocument/2006/relationships" count="31">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r>
    <x v="4294967295"/>
    <x v="4294967295"/>
    <x v="4294967295"/>
    <m/>
    <m/>
    <m/>
    <m/>
  </r>
</pivotCacheRecords>
</file>

<file path=xl/pivotCache/pivotCacheRecords2.xml><?xml version="1.0" encoding="utf-8"?>
<pivotCacheRecords xmlns="http://schemas.openxmlformats.org/spreadsheetml/2006/main" xmlns:r="http://schemas.openxmlformats.org/officeDocument/2006/relationships" count="31">
  <r>
    <x v="0"/>
    <x v="0"/>
    <x v="0"/>
    <n v="8"/>
    <n v="50000"/>
    <n v="65000"/>
    <n v="15000"/>
  </r>
  <r>
    <x v="1"/>
    <x v="1"/>
    <x v="1"/>
    <n v="12"/>
    <n v="2000000"/>
    <n v="2300000"/>
    <n v="300000"/>
  </r>
  <r>
    <x v="2"/>
    <x v="2"/>
    <x v="2"/>
    <n v="2"/>
    <n v="75000"/>
    <n v="80000"/>
    <n v="5000"/>
  </r>
  <r>
    <x v="3"/>
    <x v="3"/>
    <x v="3"/>
    <n v="7"/>
    <n v="200000"/>
    <n v="250000"/>
    <n v="50000"/>
  </r>
  <r>
    <x v="4"/>
    <x v="4"/>
    <x v="4"/>
    <n v="15"/>
    <n v="600000"/>
    <n v="612999"/>
    <n v="12999"/>
  </r>
  <r>
    <x v="5"/>
    <x v="0"/>
    <x v="0"/>
    <n v="20"/>
    <n v="50000"/>
    <n v="55000"/>
    <n v="5000"/>
  </r>
  <r>
    <x v="6"/>
    <x v="1"/>
    <x v="1"/>
    <n v="11"/>
    <n v="5999999"/>
    <n v="6000000"/>
    <n v="1"/>
  </r>
  <r>
    <x v="7"/>
    <x v="5"/>
    <x v="3"/>
    <n v="6"/>
    <n v="250000"/>
    <n v="275000"/>
    <n v="25000"/>
  </r>
  <r>
    <x v="8"/>
    <x v="6"/>
    <x v="4"/>
    <n v="12"/>
    <n v="500000"/>
    <n v="535000"/>
    <n v="35000"/>
  </r>
  <r>
    <x v="9"/>
    <x v="2"/>
    <x v="0"/>
    <n v="9"/>
    <n v="85999"/>
    <n v="95999"/>
    <n v="10000"/>
  </r>
  <r>
    <x v="10"/>
    <x v="5"/>
    <x v="2"/>
    <n v="3"/>
    <n v="115500"/>
    <n v="118500"/>
    <n v="3000"/>
  </r>
  <r>
    <x v="11"/>
    <x v="0"/>
    <x v="0"/>
    <n v="18"/>
    <n v="90500"/>
    <n v="105500"/>
    <n v="15000"/>
  </r>
  <r>
    <x v="12"/>
    <x v="3"/>
    <x v="1"/>
    <n v="13"/>
    <n v="2500000"/>
    <n v="2600000"/>
    <n v="100000"/>
  </r>
  <r>
    <x v="13"/>
    <x v="0"/>
    <x v="5"/>
    <n v="2"/>
    <n v="2500"/>
    <n v="3000"/>
    <n v="500"/>
  </r>
  <r>
    <x v="14"/>
    <x v="0"/>
    <x v="4"/>
    <n v="16"/>
    <n v="555000"/>
    <n v="600000"/>
    <n v="45000"/>
  </r>
  <r>
    <x v="15"/>
    <x v="2"/>
    <x v="0"/>
    <n v="19"/>
    <n v="55000"/>
    <n v="60000"/>
    <n v="5000"/>
  </r>
  <r>
    <x v="16"/>
    <x v="1"/>
    <x v="2"/>
    <n v="6"/>
    <n v="100000"/>
    <n v="110000"/>
    <n v="10000"/>
  </r>
  <r>
    <x v="17"/>
    <x v="5"/>
    <x v="3"/>
    <n v="10"/>
    <n v="150000"/>
    <n v="155000"/>
    <n v="5000"/>
  </r>
  <r>
    <x v="18"/>
    <x v="0"/>
    <x v="1"/>
    <n v="5"/>
    <n v="3500000"/>
    <n v="3600000"/>
    <n v="100000"/>
  </r>
  <r>
    <x v="19"/>
    <x v="1"/>
    <x v="5"/>
    <n v="2"/>
    <n v="2000"/>
    <n v="2500"/>
    <n v="500"/>
  </r>
  <r>
    <x v="20"/>
    <x v="6"/>
    <x v="0"/>
    <n v="13"/>
    <n v="57000"/>
    <n v="62000"/>
    <n v="5000"/>
  </r>
  <r>
    <x v="21"/>
    <x v="2"/>
    <x v="0"/>
    <n v="9"/>
    <n v="76000"/>
    <n v="80000"/>
    <n v="4000"/>
  </r>
  <r>
    <x v="22"/>
    <x v="0"/>
    <x v="2"/>
    <n v="4"/>
    <n v="90500"/>
    <n v="100000"/>
    <n v="9500"/>
  </r>
  <r>
    <x v="23"/>
    <x v="1"/>
    <x v="0"/>
    <n v="6"/>
    <n v="50000"/>
    <n v="56000"/>
    <n v="6000"/>
  </r>
  <r>
    <x v="24"/>
    <x v="2"/>
    <x v="5"/>
    <n v="1"/>
    <n v="2000"/>
    <n v="3000"/>
    <n v="1000"/>
  </r>
  <r>
    <x v="25"/>
    <x v="6"/>
    <x v="2"/>
    <n v="3"/>
    <n v="110000"/>
    <n v="120000"/>
    <n v="10000"/>
  </r>
  <r>
    <x v="26"/>
    <x v="5"/>
    <x v="1"/>
    <n v="6"/>
    <n v="2000000"/>
    <n v="2010000"/>
    <n v="10000"/>
  </r>
  <r>
    <x v="27"/>
    <x v="6"/>
    <x v="3"/>
    <n v="5"/>
    <n v="125000"/>
    <n v="130000"/>
    <n v="5000"/>
  </r>
  <r>
    <x v="28"/>
    <x v="3"/>
    <x v="4"/>
    <n v="11"/>
    <n v="500000"/>
    <n v="550000"/>
    <n v="50000"/>
  </r>
  <r>
    <x v="29"/>
    <x v="0"/>
    <x v="1"/>
    <n v="7"/>
    <n v="1500000"/>
    <n v="1800000"/>
    <n v="300000"/>
  </r>
  <r>
    <x v="30"/>
    <x v="0"/>
    <x v="0"/>
    <n v="18"/>
    <n v="65000"/>
    <n v="70000"/>
    <n v="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 applyNumberFormats="0" applyBorderFormats="0" applyFontFormats="0" applyPatternFormats="0" applyAlignmentFormats="0" applyWidthHeightFormats="1" dataCaption="Values" updatedVersion="4" minRefreshableVersion="3" useAutoFormatting="1" createdVersion="4" indent="0" outline="1" outlineData="1" multipleFieldFilters="0" chartFormat="2">
  <location ref="A3:F11" firstHeaderRow="0" firstDataRow="1" firstDataCol="1"/>
  <pivotFields count="7">
    <pivotField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Row" showAll="0">
      <items count="8">
        <item x="4"/>
        <item x="1"/>
        <item x="6"/>
        <item x="0"/>
        <item x="2"/>
        <item x="5"/>
        <item x="3"/>
        <item t="default"/>
      </items>
    </pivotField>
    <pivotField showAll="0">
      <items count="7">
        <item x="4"/>
        <item x="2"/>
        <item x="1"/>
        <item x="5"/>
        <item x="3"/>
        <item x="0"/>
        <item t="default"/>
      </items>
    </pivotField>
    <pivotField dataField="1" showAll="0"/>
    <pivotField dataField="1" numFmtId="164" showAll="0"/>
    <pivotField dataField="1" numFmtId="164" showAll="0"/>
    <pivotField dataField="1" numFmtId="164" showAll="0"/>
  </pivotFields>
  <rowFields count="1">
    <field x="1"/>
  </rowFields>
  <rowItems count="8">
    <i>
      <x/>
    </i>
    <i>
      <x v="1"/>
    </i>
    <i>
      <x v="2"/>
    </i>
    <i>
      <x v="3"/>
    </i>
    <i>
      <x v="4"/>
    </i>
    <i>
      <x v="5"/>
    </i>
    <i>
      <x v="6"/>
    </i>
    <i t="grand">
      <x/>
    </i>
  </rowItems>
  <colFields count="1">
    <field x="-2"/>
  </colFields>
  <colItems count="5">
    <i>
      <x/>
    </i>
    <i i="1">
      <x v="1"/>
    </i>
    <i i="2">
      <x v="2"/>
    </i>
    <i i="3">
      <x v="3"/>
    </i>
    <i i="4">
      <x v="4"/>
    </i>
  </colItems>
  <dataFields count="5">
    <dataField name="Sum of Unit_Sold" fld="3" baseField="0" baseItem="0"/>
    <dataField name="Sum of Unit_Price" fld="4" baseField="0" baseItem="0"/>
    <dataField name="% of total revenue" fld="4" showDataAs="percentOfCol" baseField="0" baseItem="0" numFmtId="10"/>
    <dataField name="Sum of Sales" fld="5" baseField="0" baseItem="0"/>
    <dataField name="Sum of Profits" fld="6"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5" cacheId="2" applyNumberFormats="0" applyBorderFormats="0" applyFontFormats="0" applyPatternFormats="0" applyAlignmentFormats="0" applyWidthHeightFormats="1" dataCaption="Values" updatedVersion="8" minRefreshableVersion="3" useAutoFormatting="1" createdVersion="4" indent="0" outline="1" outlineData="1" multipleFieldFilters="0" chartFormat="2">
  <location ref="N3:O5" firstHeaderRow="1" firstDataRow="1" firstDataCol="1"/>
  <pivotFields count="7">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axis="axisRow" showAll="0">
      <items count="9">
        <item h="1" x="4"/>
        <item h="1" x="1"/>
        <item x="6"/>
        <item h="1" x="0"/>
        <item h="1" x="2"/>
        <item h="1" x="5"/>
        <item h="1" x="3"/>
        <item h="1" x="7"/>
        <item t="default"/>
      </items>
    </pivotField>
    <pivotField showAll="0"/>
    <pivotField showAll="0"/>
    <pivotField numFmtId="164" showAll="0"/>
    <pivotField numFmtId="164" showAll="0"/>
    <pivotField dataField="1" numFmtId="164" showAll="0"/>
  </pivotFields>
  <rowFields count="1">
    <field x="1"/>
  </rowFields>
  <rowItems count="2">
    <i>
      <x v="2"/>
    </i>
    <i t="grand">
      <x/>
    </i>
  </rowItems>
  <colItems count="1">
    <i/>
  </colItems>
  <dataFields count="1">
    <dataField name="Sum of Profits"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4" cacheId="2" applyNumberFormats="0" applyBorderFormats="0" applyFontFormats="0" applyPatternFormats="0" applyAlignmentFormats="0" applyWidthHeightFormats="1" dataCaption="Values" updatedVersion="8" minRefreshableVersion="3" useAutoFormatting="1" createdVersion="4" indent="0" outline="1" outlineData="1" multipleFieldFilters="0">
  <location ref="J3:L8" firstHeaderRow="0" firstDataRow="1" firstDataCol="1"/>
  <pivotFields count="7">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9">
        <item h="1" x="4"/>
        <item h="1" x="1"/>
        <item x="6"/>
        <item h="1" x="0"/>
        <item h="1" x="2"/>
        <item h="1" x="5"/>
        <item h="1" x="3"/>
        <item h="1" x="7"/>
        <item t="default"/>
      </items>
    </pivotField>
    <pivotField axis="axisRow" showAll="0">
      <items count="8">
        <item x="4"/>
        <item x="2"/>
        <item x="1"/>
        <item x="5"/>
        <item x="3"/>
        <item x="0"/>
        <item n="total" x="6"/>
        <item t="default"/>
      </items>
    </pivotField>
    <pivotField dataField="1" showAll="0"/>
    <pivotField numFmtId="164" showAll="0"/>
    <pivotField dataField="1" numFmtId="164" showAll="0"/>
    <pivotField numFmtId="164" showAll="0"/>
  </pivotFields>
  <rowFields count="1">
    <field x="2"/>
  </rowFields>
  <rowItems count="5">
    <i>
      <x/>
    </i>
    <i>
      <x v="1"/>
    </i>
    <i>
      <x v="4"/>
    </i>
    <i>
      <x v="5"/>
    </i>
    <i t="grand">
      <x/>
    </i>
  </rowItems>
  <colFields count="1">
    <field x="-2"/>
  </colFields>
  <colItems count="2">
    <i>
      <x/>
    </i>
    <i i="1">
      <x v="1"/>
    </i>
  </colItems>
  <dataFields count="2">
    <dataField name="Sum of Sales" fld="5" baseField="0" baseItem="0"/>
    <dataField name="Sum of Unit_Sol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2" applyNumberFormats="0" applyBorderFormats="0" applyFontFormats="0" applyPatternFormats="0" applyAlignmentFormats="0" applyWidthHeightFormats="1" dataCaption="Values" updatedVersion="8" minRefreshableVersion="3" useAutoFormatting="1" createdVersion="4" indent="0" outline="1" outlineData="1" multipleFieldFilters="0">
  <location ref="G3:H5" firstHeaderRow="1" firstDataRow="1" firstDataCol="1"/>
  <pivotFields count="7">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axis="axisRow" showAll="0">
      <items count="9">
        <item h="1" x="4"/>
        <item h="1" x="1"/>
        <item x="6"/>
        <item h="1" x="0"/>
        <item h="1" x="2"/>
        <item h="1" x="5"/>
        <item h="1" x="3"/>
        <item h="1" x="7"/>
        <item t="default"/>
      </items>
    </pivotField>
    <pivotField showAll="0"/>
    <pivotField dataField="1" showAll="0"/>
    <pivotField numFmtId="164" showAll="0"/>
    <pivotField numFmtId="164" showAll="0"/>
    <pivotField numFmtId="164" showAll="0"/>
  </pivotFields>
  <rowFields count="1">
    <field x="1"/>
  </rowFields>
  <rowItems count="2">
    <i>
      <x v="2"/>
    </i>
    <i t="grand">
      <x/>
    </i>
  </rowItems>
  <colItems count="1">
    <i/>
  </colItems>
  <dataFields count="1">
    <dataField name="Sum of Unit_Sol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2" applyNumberFormats="0" applyBorderFormats="0" applyFontFormats="0" applyPatternFormats="0" applyAlignmentFormats="0" applyWidthHeightFormats="1" dataCaption="Values" updatedVersion="8" minRefreshableVersion="3" useAutoFormatting="1" createdVersion="4" indent="0" outline="1" outlineData="1" multipleFieldFilters="0" chartFormat="2">
  <location ref="D3:E8" firstHeaderRow="1" firstDataRow="1" firstDataCol="1"/>
  <pivotFields count="7">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9">
        <item h="1" x="4"/>
        <item h="1" x="1"/>
        <item x="6"/>
        <item h="1" x="0"/>
        <item h="1" x="2"/>
        <item h="1" x="5"/>
        <item h="1" x="3"/>
        <item h="1" x="7"/>
        <item t="default"/>
      </items>
    </pivotField>
    <pivotField axis="axisRow" showAll="0">
      <items count="8">
        <item x="4"/>
        <item x="2"/>
        <item x="1"/>
        <item x="5"/>
        <item x="3"/>
        <item x="0"/>
        <item x="6"/>
        <item t="default"/>
      </items>
    </pivotField>
    <pivotField showAll="0"/>
    <pivotField numFmtId="164" showAll="0"/>
    <pivotField dataField="1" numFmtId="164" showAll="0"/>
    <pivotField numFmtId="164" showAll="0"/>
  </pivotFields>
  <rowFields count="1">
    <field x="2"/>
  </rowFields>
  <rowItems count="5">
    <i>
      <x/>
    </i>
    <i>
      <x v="1"/>
    </i>
    <i>
      <x v="4"/>
    </i>
    <i>
      <x v="5"/>
    </i>
    <i t="grand">
      <x/>
    </i>
  </rowItems>
  <colItems count="1">
    <i/>
  </colItems>
  <dataFields count="1">
    <dataField name="Sum of Sales"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6" cacheId="2" applyNumberFormats="0" applyBorderFormats="0" applyFontFormats="0" applyPatternFormats="0" applyAlignmentFormats="0" applyWidthHeightFormats="1" dataCaption="Values" updatedVersion="8" minRefreshableVersion="3" useAutoFormatting="1" createdVersion="4" indent="0" outline="1" outlineData="1" multipleFieldFilters="0" chartFormat="2">
  <location ref="Q3:R8" firstHeaderRow="1" firstDataRow="1" firstDataCol="1"/>
  <pivotFields count="7">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items count="9">
        <item h="1" x="4"/>
        <item h="1" x="1"/>
        <item x="6"/>
        <item h="1" x="0"/>
        <item h="1" x="2"/>
        <item h="1" x="5"/>
        <item h="1" x="3"/>
        <item h="1" x="7"/>
        <item t="default"/>
      </items>
    </pivotField>
    <pivotField axis="axisRow" showAll="0">
      <items count="8">
        <item x="4"/>
        <item x="2"/>
        <item x="1"/>
        <item x="5"/>
        <item x="3"/>
        <item x="0"/>
        <item x="6"/>
        <item t="default"/>
      </items>
    </pivotField>
    <pivotField showAll="0"/>
    <pivotField numFmtId="164" showAll="0"/>
    <pivotField numFmtId="164" showAll="0"/>
    <pivotField dataField="1" numFmtId="164" showAll="0"/>
  </pivotFields>
  <rowFields count="1">
    <field x="2"/>
  </rowFields>
  <rowItems count="5">
    <i>
      <x/>
    </i>
    <i>
      <x v="1"/>
    </i>
    <i>
      <x v="4"/>
    </i>
    <i>
      <x v="5"/>
    </i>
    <i t="grand">
      <x/>
    </i>
  </rowItems>
  <colItems count="1">
    <i/>
  </colItems>
  <dataFields count="1">
    <dataField name="Sum of Profits" fld="6"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1" cacheId="2" applyNumberFormats="0" applyBorderFormats="0" applyFontFormats="0" applyPatternFormats="0" applyAlignmentFormats="0" applyWidthHeightFormats="1" dataCaption="Values" updatedVersion="8" minRefreshableVersion="3" useAutoFormatting="1" createdVersion="4" indent="0" outline="1" outlineData="1" multipleFieldFilters="0" chartFormat="2">
  <location ref="A3:B5" firstHeaderRow="1" firstDataRow="1" firstDataCol="1"/>
  <pivotFields count="7">
    <pivotField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axis="axisRow" showAll="0">
      <items count="9">
        <item h="1" x="4"/>
        <item h="1" x="1"/>
        <item x="6"/>
        <item h="1" x="0"/>
        <item h="1" x="2"/>
        <item h="1" x="5"/>
        <item h="1" x="3"/>
        <item h="1" x="7"/>
        <item t="default"/>
      </items>
    </pivotField>
    <pivotField showAll="0"/>
    <pivotField showAll="0"/>
    <pivotField numFmtId="164" showAll="0"/>
    <pivotField dataField="1" numFmtId="164" showAll="0"/>
    <pivotField numFmtId="164" showAll="0"/>
  </pivotFields>
  <rowFields count="1">
    <field x="1"/>
  </rowFields>
  <rowItems count="2">
    <i>
      <x v="2"/>
    </i>
    <i t="grand">
      <x/>
    </i>
  </rowItems>
  <colItems count="1">
    <i/>
  </colItems>
  <dataFields count="1">
    <dataField name="Sum of Sales"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A63D7E-2D99-4B1B-8385-928E43B3848A}" sourceName="Region">
  <pivotTables>
    <pivotTable tabId="7" name="PivotTable1"/>
    <pivotTable tabId="7" name="PivotTable2"/>
    <pivotTable tabId="7" name="PivotTable3"/>
    <pivotTable tabId="7" name="PivotTable4"/>
    <pivotTable tabId="7" name="PivotTable5"/>
    <pivotTable tabId="7" name="PivotTable6"/>
  </pivotTables>
  <data>
    <tabular pivotCacheId="1989678206">
      <items count="8">
        <i x="4"/>
        <i x="1"/>
        <i x="6" s="1"/>
        <i x="0"/>
        <i x="2"/>
        <i x="5"/>
        <i x="3"/>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4256870-BB3E-417D-9D19-9FFC9397AC55}"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14" displayName="Table14" ref="A2:G34" totalsRowShown="0">
  <autoFilter ref="A2:G34" xr:uid="{00000000-0009-0000-0100-000003000000}"/>
  <tableColumns count="7">
    <tableColumn id="1" xr3:uid="{00000000-0010-0000-0000-000001000000}" name="Date" dataDxfId="16"/>
    <tableColumn id="2" xr3:uid="{00000000-0010-0000-0000-000002000000}" name="Region" dataDxfId="15"/>
    <tableColumn id="3" xr3:uid="{00000000-0010-0000-0000-000003000000}" name="Product" dataDxfId="14"/>
    <tableColumn id="4" xr3:uid="{00000000-0010-0000-0000-000004000000}" name="Unit_Sold" dataDxfId="13"/>
    <tableColumn id="5" xr3:uid="{00000000-0010-0000-0000-000005000000}" name="Unit_Price" dataDxfId="12"/>
    <tableColumn id="6" xr3:uid="{00000000-0010-0000-0000-000006000000}" name="Sales" dataDxfId="11"/>
    <tableColumn id="7" xr3:uid="{00000000-0010-0000-0000-000007000000}" name="Profits" dataDxfId="10">
      <calculatedColumnFormula>F3-E3</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1" displayName="Table1" ref="A2:G33" totalsRowShown="0">
  <autoFilter ref="A2:G33" xr:uid="{00000000-0009-0000-0100-000001000000}"/>
  <tableColumns count="7">
    <tableColumn id="1" xr3:uid="{00000000-0010-0000-0200-000001000000}" name="Date" dataDxfId="9"/>
    <tableColumn id="2" xr3:uid="{00000000-0010-0000-0200-000002000000}" name="Region" dataDxfId="8"/>
    <tableColumn id="3" xr3:uid="{00000000-0010-0000-0200-000003000000}" name="Product" dataDxfId="7"/>
    <tableColumn id="4" xr3:uid="{00000000-0010-0000-0200-000004000000}" name="Unit_Sold" dataDxfId="6"/>
    <tableColumn id="5" xr3:uid="{00000000-0010-0000-0200-000005000000}" name="Unit_Price" dataDxfId="5"/>
    <tableColumn id="6" xr3:uid="{00000000-0010-0000-0200-000006000000}" name="Sales" dataDxfId="4"/>
    <tableColumn id="7" xr3:uid="{00000000-0010-0000-0200-000007000000}" name="Profits" dataDxfId="3">
      <calculatedColumnFormula>F3-E3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topLeftCell="A45" workbookViewId="0">
      <selection activeCell="F20" sqref="F20"/>
    </sheetView>
  </sheetViews>
  <sheetFormatPr defaultColWidth="9" defaultRowHeight="14.4"/>
  <cols>
    <col min="1" max="1" width="13.44140625" customWidth="1"/>
    <col min="2" max="2" width="16.44140625" customWidth="1"/>
    <col min="3" max="3" width="17" customWidth="1"/>
    <col min="4" max="4" width="17.5546875" customWidth="1"/>
    <col min="5" max="5" width="12.109375" customWidth="1"/>
    <col min="6" max="6" width="13.5546875" customWidth="1"/>
    <col min="7" max="7" width="7.5546875" customWidth="1"/>
    <col min="8" max="8" width="17" customWidth="1"/>
    <col min="9" max="9" width="7.44140625" customWidth="1"/>
    <col min="10" max="10" width="9" customWidth="1"/>
    <col min="11" max="11" width="10.5546875" customWidth="1"/>
    <col min="12" max="12" width="7" customWidth="1"/>
    <col min="13" max="13" width="7.5546875" customWidth="1"/>
    <col min="14" max="14" width="17.5546875" customWidth="1"/>
    <col min="15" max="16" width="8.109375" customWidth="1"/>
    <col min="17" max="17" width="10.5546875" customWidth="1"/>
    <col min="18" max="19" width="8.109375" customWidth="1"/>
    <col min="20" max="20" width="12.109375" customWidth="1"/>
    <col min="21" max="21" width="7.44140625" customWidth="1"/>
    <col min="22" max="22" width="9" customWidth="1"/>
    <col min="23" max="23" width="10.5546875" customWidth="1"/>
    <col min="24" max="24" width="7" customWidth="1"/>
    <col min="25" max="25" width="7.5546875" customWidth="1"/>
    <col min="26" max="26" width="13.5546875" customWidth="1"/>
    <col min="27" max="27" width="7.44140625" customWidth="1"/>
    <col min="28" max="28" width="7" customWidth="1"/>
    <col min="29" max="29" width="10.5546875" customWidth="1"/>
    <col min="30" max="30" width="6.6640625" customWidth="1"/>
    <col min="31" max="31" width="7.5546875" customWidth="1"/>
    <col min="32" max="32" width="21.5546875" customWidth="1"/>
    <col min="33" max="33" width="22.109375" customWidth="1"/>
    <col min="34" max="34" width="22.5546875" customWidth="1"/>
    <col min="35" max="35" width="17.33203125" customWidth="1"/>
    <col min="36" max="36" width="18.5546875" customWidth="1"/>
  </cols>
  <sheetData>
    <row r="1" spans="1:6" ht="23.4">
      <c r="B1" s="23" t="s">
        <v>0</v>
      </c>
    </row>
    <row r="3" spans="1:6">
      <c r="A3" t="s">
        <v>1</v>
      </c>
      <c r="B3" t="s">
        <v>2</v>
      </c>
      <c r="C3" t="s">
        <v>3</v>
      </c>
      <c r="D3" t="s">
        <v>4</v>
      </c>
      <c r="E3" t="s">
        <v>5</v>
      </c>
      <c r="F3" t="s">
        <v>6</v>
      </c>
    </row>
    <row r="4" spans="1:6">
      <c r="A4" s="22" t="s">
        <v>7</v>
      </c>
      <c r="B4">
        <v>15</v>
      </c>
      <c r="C4">
        <v>600000</v>
      </c>
      <c r="D4" s="24">
        <v>2.7962905155697899E-2</v>
      </c>
      <c r="E4">
        <v>612999</v>
      </c>
      <c r="F4">
        <v>12999</v>
      </c>
    </row>
    <row r="5" spans="1:6">
      <c r="A5" s="22" t="s">
        <v>8</v>
      </c>
      <c r="B5">
        <v>37</v>
      </c>
      <c r="C5">
        <v>8151999</v>
      </c>
      <c r="D5" s="24">
        <v>0.37992262477723998</v>
      </c>
      <c r="E5">
        <v>8468500</v>
      </c>
      <c r="F5">
        <v>316501</v>
      </c>
    </row>
    <row r="6" spans="1:6">
      <c r="A6" s="22" t="s">
        <v>9</v>
      </c>
      <c r="B6">
        <v>33</v>
      </c>
      <c r="C6">
        <v>792000</v>
      </c>
      <c r="D6" s="24">
        <v>3.6911034805521298E-2</v>
      </c>
      <c r="E6">
        <v>847000</v>
      </c>
      <c r="F6">
        <v>55000</v>
      </c>
    </row>
    <row r="7" spans="1:6">
      <c r="A7" s="22" t="s">
        <v>10</v>
      </c>
      <c r="B7">
        <v>98</v>
      </c>
      <c r="C7">
        <v>5903500</v>
      </c>
      <c r="D7" s="24">
        <v>0.27513168431110402</v>
      </c>
      <c r="E7">
        <v>6398500</v>
      </c>
      <c r="F7">
        <v>495000</v>
      </c>
    </row>
    <row r="8" spans="1:6">
      <c r="A8" s="22" t="s">
        <v>11</v>
      </c>
      <c r="B8">
        <v>40</v>
      </c>
      <c r="C8">
        <v>293999</v>
      </c>
      <c r="D8" s="24">
        <v>1.3701776921450101E-2</v>
      </c>
      <c r="E8">
        <v>318999</v>
      </c>
      <c r="F8">
        <v>25000</v>
      </c>
    </row>
    <row r="9" spans="1:6">
      <c r="A9" s="22" t="s">
        <v>12</v>
      </c>
      <c r="B9">
        <v>25</v>
      </c>
      <c r="C9">
        <v>2515500</v>
      </c>
      <c r="D9" s="24">
        <v>0.117234479865264</v>
      </c>
      <c r="E9">
        <v>2558500</v>
      </c>
      <c r="F9">
        <v>43000</v>
      </c>
    </row>
    <row r="10" spans="1:6">
      <c r="A10" s="22" t="s">
        <v>13</v>
      </c>
      <c r="B10">
        <v>31</v>
      </c>
      <c r="C10">
        <v>3200000</v>
      </c>
      <c r="D10" s="24">
        <v>0.14913549416372199</v>
      </c>
      <c r="E10">
        <v>3400000</v>
      </c>
      <c r="F10">
        <v>200000</v>
      </c>
    </row>
    <row r="11" spans="1:6">
      <c r="A11" s="22" t="s">
        <v>14</v>
      </c>
      <c r="B11">
        <v>279</v>
      </c>
      <c r="C11">
        <v>21456998</v>
      </c>
      <c r="D11" s="24">
        <v>1</v>
      </c>
      <c r="E11">
        <v>22604498</v>
      </c>
      <c r="F11">
        <v>1147500</v>
      </c>
    </row>
  </sheetData>
  <pageMargins left="0.7" right="0.7" top="0.75" bottom="0.75" header="0.3" footer="0.3"/>
  <pageSetup paperSize="9"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R8"/>
  <sheetViews>
    <sheetView workbookViewId="0">
      <selection activeCell="N6" sqref="N6"/>
    </sheetView>
  </sheetViews>
  <sheetFormatPr defaultColWidth="9" defaultRowHeight="14.4"/>
  <cols>
    <col min="1" max="1" width="12.5546875" bestFit="1" customWidth="1"/>
    <col min="2" max="2" width="11.6640625" bestFit="1" customWidth="1"/>
    <col min="4" max="4" width="12.5546875" bestFit="1" customWidth="1"/>
    <col min="5" max="5" width="11.6640625" bestFit="1" customWidth="1"/>
    <col min="7" max="7" width="12.5546875" bestFit="1" customWidth="1"/>
    <col min="8" max="8" width="15.77734375" bestFit="1" customWidth="1"/>
    <col min="10" max="10" width="12.5546875" bestFit="1" customWidth="1"/>
    <col min="11" max="11" width="11.6640625" bestFit="1" customWidth="1"/>
    <col min="12" max="12" width="15.77734375" bestFit="1" customWidth="1"/>
    <col min="14" max="14" width="12.5546875" bestFit="1" customWidth="1"/>
    <col min="15" max="15" width="12.88671875" bestFit="1" customWidth="1"/>
    <col min="16" max="16" width="13.5546875" customWidth="1"/>
    <col min="17" max="17" width="12.5546875" bestFit="1" customWidth="1"/>
    <col min="18" max="18" width="12.88671875" bestFit="1" customWidth="1"/>
    <col min="19" max="19" width="13.5546875" customWidth="1"/>
  </cols>
  <sheetData>
    <row r="3" spans="1:18">
      <c r="A3" s="26" t="s">
        <v>1</v>
      </c>
      <c r="B3" t="s">
        <v>5</v>
      </c>
      <c r="D3" s="26" t="s">
        <v>1</v>
      </c>
      <c r="E3" t="s">
        <v>5</v>
      </c>
      <c r="G3" s="26" t="s">
        <v>1</v>
      </c>
      <c r="H3" t="s">
        <v>2</v>
      </c>
      <c r="J3" s="26" t="s">
        <v>1</v>
      </c>
      <c r="K3" t="s">
        <v>5</v>
      </c>
      <c r="L3" t="s">
        <v>2</v>
      </c>
      <c r="N3" s="26" t="s">
        <v>1</v>
      </c>
      <c r="O3" t="s">
        <v>6</v>
      </c>
      <c r="Q3" s="26" t="s">
        <v>1</v>
      </c>
      <c r="R3" t="s">
        <v>6</v>
      </c>
    </row>
    <row r="4" spans="1:18">
      <c r="A4" s="22" t="s">
        <v>9</v>
      </c>
      <c r="B4" s="29">
        <v>847000</v>
      </c>
      <c r="D4" s="22" t="s">
        <v>15</v>
      </c>
      <c r="E4" s="29">
        <v>535000</v>
      </c>
      <c r="G4" s="22" t="s">
        <v>9</v>
      </c>
      <c r="H4" s="29">
        <v>33</v>
      </c>
      <c r="J4" s="22" t="s">
        <v>15</v>
      </c>
      <c r="K4" s="29">
        <v>535000</v>
      </c>
      <c r="L4" s="29">
        <v>12</v>
      </c>
      <c r="N4" s="22" t="s">
        <v>9</v>
      </c>
      <c r="O4" s="29">
        <v>55000</v>
      </c>
      <c r="Q4" s="22" t="s">
        <v>15</v>
      </c>
      <c r="R4" s="29">
        <v>35000</v>
      </c>
    </row>
    <row r="5" spans="1:18">
      <c r="A5" s="22" t="s">
        <v>14</v>
      </c>
      <c r="B5" s="29">
        <v>847000</v>
      </c>
      <c r="D5" s="22" t="s">
        <v>16</v>
      </c>
      <c r="E5" s="29">
        <v>120000</v>
      </c>
      <c r="G5" s="22" t="s">
        <v>14</v>
      </c>
      <c r="H5" s="29">
        <v>33</v>
      </c>
      <c r="J5" s="22" t="s">
        <v>16</v>
      </c>
      <c r="K5" s="29">
        <v>120000</v>
      </c>
      <c r="L5" s="29">
        <v>3</v>
      </c>
      <c r="N5" s="22" t="s">
        <v>14</v>
      </c>
      <c r="O5" s="29">
        <v>55000</v>
      </c>
      <c r="Q5" s="22" t="s">
        <v>16</v>
      </c>
      <c r="R5" s="29">
        <v>10000</v>
      </c>
    </row>
    <row r="6" spans="1:18">
      <c r="D6" s="22" t="s">
        <v>19</v>
      </c>
      <c r="E6" s="29">
        <v>130000</v>
      </c>
      <c r="J6" s="22" t="s">
        <v>19</v>
      </c>
      <c r="K6" s="29">
        <v>130000</v>
      </c>
      <c r="L6" s="29">
        <v>5</v>
      </c>
      <c r="Q6" s="22" t="s">
        <v>19</v>
      </c>
      <c r="R6" s="29">
        <v>5000</v>
      </c>
    </row>
    <row r="7" spans="1:18">
      <c r="D7" s="22" t="s">
        <v>20</v>
      </c>
      <c r="E7" s="29">
        <v>62000</v>
      </c>
      <c r="J7" s="22" t="s">
        <v>20</v>
      </c>
      <c r="K7" s="29">
        <v>62000</v>
      </c>
      <c r="L7" s="29">
        <v>13</v>
      </c>
      <c r="Q7" s="22" t="s">
        <v>20</v>
      </c>
      <c r="R7" s="29">
        <v>5000</v>
      </c>
    </row>
    <row r="8" spans="1:18">
      <c r="D8" s="22" t="s">
        <v>14</v>
      </c>
      <c r="E8" s="29">
        <v>847000</v>
      </c>
      <c r="J8" s="22" t="s">
        <v>14</v>
      </c>
      <c r="K8" s="29">
        <v>847000</v>
      </c>
      <c r="L8" s="29">
        <v>33</v>
      </c>
      <c r="Q8" s="22" t="s">
        <v>14</v>
      </c>
      <c r="R8" s="29">
        <v>55000</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4"/>
  <sheetViews>
    <sheetView tabSelected="1" workbookViewId="0">
      <selection activeCell="B31" sqref="B31"/>
    </sheetView>
  </sheetViews>
  <sheetFormatPr defaultColWidth="9" defaultRowHeight="14.4"/>
  <cols>
    <col min="1" max="1" width="13.44140625" customWidth="1"/>
    <col min="2" max="3" width="15.44140625" customWidth="1"/>
    <col min="4" max="4" width="11.88671875" customWidth="1"/>
    <col min="5" max="5" width="15.5546875" customWidth="1"/>
    <col min="6" max="6" width="15.109375" customWidth="1"/>
    <col min="7" max="7" width="18.33203125" customWidth="1"/>
    <col min="11" max="11" width="9.33203125" customWidth="1"/>
    <col min="12" max="12" width="10" customWidth="1"/>
    <col min="13" max="13" width="23.109375" customWidth="1"/>
  </cols>
  <sheetData>
    <row r="1" spans="1:13" ht="25.8">
      <c r="A1" s="28" t="s">
        <v>22</v>
      </c>
      <c r="B1" s="22"/>
      <c r="C1" s="22"/>
      <c r="D1" s="2"/>
    </row>
    <row r="2" spans="1:13" ht="18">
      <c r="A2" s="3" t="s">
        <v>23</v>
      </c>
      <c r="B2" s="4" t="s">
        <v>24</v>
      </c>
      <c r="C2" s="4" t="s">
        <v>25</v>
      </c>
      <c r="D2" s="4" t="s">
        <v>26</v>
      </c>
      <c r="E2" s="4" t="s">
        <v>27</v>
      </c>
      <c r="F2" s="4" t="s">
        <v>28</v>
      </c>
      <c r="G2" s="5" t="s">
        <v>29</v>
      </c>
      <c r="K2" s="19"/>
    </row>
    <row r="3" spans="1:13">
      <c r="A3" s="6">
        <v>44197</v>
      </c>
      <c r="B3" s="7" t="s">
        <v>10</v>
      </c>
      <c r="C3" s="7" t="s">
        <v>20</v>
      </c>
      <c r="D3" s="7">
        <v>8</v>
      </c>
      <c r="E3" s="8">
        <v>50000</v>
      </c>
      <c r="F3" s="8">
        <v>65000</v>
      </c>
      <c r="G3" s="9">
        <v>15000</v>
      </c>
      <c r="K3" s="20"/>
      <c r="L3" s="20"/>
      <c r="M3" s="20"/>
    </row>
    <row r="4" spans="1:13">
      <c r="A4" s="10">
        <v>44198</v>
      </c>
      <c r="B4" s="7" t="s">
        <v>8</v>
      </c>
      <c r="C4" s="7" t="s">
        <v>17</v>
      </c>
      <c r="D4" s="7">
        <v>12</v>
      </c>
      <c r="E4" s="8">
        <v>2000000</v>
      </c>
      <c r="F4" s="8">
        <v>2300000</v>
      </c>
      <c r="G4" s="9">
        <v>300000</v>
      </c>
      <c r="K4" s="21"/>
      <c r="L4" s="21"/>
    </row>
    <row r="5" spans="1:13">
      <c r="A5" s="10">
        <v>44199</v>
      </c>
      <c r="B5" s="7" t="s">
        <v>33</v>
      </c>
      <c r="C5" s="7" t="s">
        <v>16</v>
      </c>
      <c r="D5" s="7">
        <v>2</v>
      </c>
      <c r="E5" s="8">
        <v>75000</v>
      </c>
      <c r="F5" s="8">
        <v>80000</v>
      </c>
      <c r="G5" s="9">
        <f>F5-E5</f>
        <v>5000</v>
      </c>
      <c r="K5" s="21"/>
      <c r="L5" s="21"/>
    </row>
    <row r="6" spans="1:13">
      <c r="A6" s="10">
        <v>44200</v>
      </c>
      <c r="B6" s="7" t="s">
        <v>32</v>
      </c>
      <c r="C6" s="7" t="s">
        <v>19</v>
      </c>
      <c r="D6" s="7">
        <v>7</v>
      </c>
      <c r="E6" s="8">
        <v>200000</v>
      </c>
      <c r="F6" s="8">
        <v>250000</v>
      </c>
      <c r="G6" s="9">
        <f t="shared" ref="G6:G33" si="0">F6-E6</f>
        <v>50000</v>
      </c>
      <c r="K6" s="21"/>
      <c r="L6" s="21"/>
    </row>
    <row r="7" spans="1:13">
      <c r="A7" s="10">
        <v>44201</v>
      </c>
      <c r="B7" s="7" t="s">
        <v>7</v>
      </c>
      <c r="C7" s="7" t="s">
        <v>15</v>
      </c>
      <c r="D7" s="7">
        <v>15</v>
      </c>
      <c r="E7" s="8">
        <v>600000</v>
      </c>
      <c r="F7" s="8">
        <v>612999</v>
      </c>
      <c r="G7" s="9">
        <f t="shared" si="0"/>
        <v>12999</v>
      </c>
    </row>
    <row r="8" spans="1:13">
      <c r="A8" s="10">
        <v>44202</v>
      </c>
      <c r="B8" s="7" t="s">
        <v>10</v>
      </c>
      <c r="C8" s="7" t="s">
        <v>30</v>
      </c>
      <c r="D8" s="7">
        <v>20</v>
      </c>
      <c r="E8" s="8">
        <v>50000</v>
      </c>
      <c r="F8" s="8">
        <v>55000</v>
      </c>
      <c r="G8" s="9">
        <f t="shared" si="0"/>
        <v>5000</v>
      </c>
    </row>
    <row r="9" spans="1:13">
      <c r="A9" s="10">
        <v>44203</v>
      </c>
      <c r="B9" s="7" t="s">
        <v>8</v>
      </c>
      <c r="C9" s="7" t="s">
        <v>17</v>
      </c>
      <c r="D9" s="7">
        <v>11</v>
      </c>
      <c r="E9" s="8">
        <v>5999999</v>
      </c>
      <c r="F9" s="8">
        <v>6000000</v>
      </c>
      <c r="G9" s="9">
        <f t="shared" si="0"/>
        <v>1</v>
      </c>
    </row>
    <row r="10" spans="1:13">
      <c r="A10" s="10">
        <v>44204</v>
      </c>
      <c r="B10" s="7" t="s">
        <v>34</v>
      </c>
      <c r="C10" s="7" t="s">
        <v>19</v>
      </c>
      <c r="D10" s="7">
        <v>6</v>
      </c>
      <c r="E10" s="8">
        <v>250000</v>
      </c>
      <c r="F10" s="8">
        <v>275000</v>
      </c>
      <c r="G10" s="9">
        <f t="shared" si="0"/>
        <v>25000</v>
      </c>
    </row>
    <row r="11" spans="1:13">
      <c r="A11" s="10">
        <v>44205</v>
      </c>
      <c r="B11" s="7" t="s">
        <v>9</v>
      </c>
      <c r="C11" s="7" t="s">
        <v>15</v>
      </c>
      <c r="D11" s="7">
        <v>12</v>
      </c>
      <c r="E11" s="8">
        <v>500000</v>
      </c>
      <c r="F11" s="8">
        <v>535000</v>
      </c>
      <c r="G11" s="9">
        <f t="shared" si="0"/>
        <v>35000</v>
      </c>
    </row>
    <row r="12" spans="1:13">
      <c r="A12" s="10">
        <v>44206</v>
      </c>
      <c r="B12" s="7" t="s">
        <v>33</v>
      </c>
      <c r="C12" s="7" t="s">
        <v>20</v>
      </c>
      <c r="D12" s="7">
        <v>9</v>
      </c>
      <c r="E12" s="8">
        <v>85999</v>
      </c>
      <c r="F12" s="8">
        <v>95999</v>
      </c>
      <c r="G12" s="9">
        <f t="shared" si="0"/>
        <v>10000</v>
      </c>
    </row>
    <row r="13" spans="1:13">
      <c r="A13" s="10">
        <v>44207</v>
      </c>
      <c r="B13" s="7" t="s">
        <v>34</v>
      </c>
      <c r="C13" s="7" t="s">
        <v>16</v>
      </c>
      <c r="D13" s="7">
        <v>3</v>
      </c>
      <c r="E13" s="8">
        <v>115500</v>
      </c>
      <c r="F13" s="8">
        <v>118500</v>
      </c>
      <c r="G13" s="9">
        <f t="shared" si="0"/>
        <v>3000</v>
      </c>
    </row>
    <row r="14" spans="1:13">
      <c r="A14" s="10">
        <v>44208</v>
      </c>
      <c r="B14" s="7" t="s">
        <v>10</v>
      </c>
      <c r="C14" s="7" t="s">
        <v>20</v>
      </c>
      <c r="D14" s="7">
        <v>18</v>
      </c>
      <c r="E14" s="8">
        <v>90500</v>
      </c>
      <c r="F14" s="8">
        <v>105500</v>
      </c>
      <c r="G14" s="9">
        <f t="shared" si="0"/>
        <v>15000</v>
      </c>
    </row>
    <row r="15" spans="1:13">
      <c r="A15" s="10">
        <v>44209</v>
      </c>
      <c r="B15" s="7" t="s">
        <v>32</v>
      </c>
      <c r="C15" s="7" t="s">
        <v>17</v>
      </c>
      <c r="D15" s="7">
        <v>13</v>
      </c>
      <c r="E15" s="8">
        <v>2500000</v>
      </c>
      <c r="F15" s="8">
        <v>2600000</v>
      </c>
      <c r="G15" s="9">
        <f t="shared" si="0"/>
        <v>100000</v>
      </c>
    </row>
    <row r="16" spans="1:13">
      <c r="A16" s="10">
        <v>44210</v>
      </c>
      <c r="B16" s="7" t="s">
        <v>10</v>
      </c>
      <c r="C16" s="7" t="s">
        <v>18</v>
      </c>
      <c r="D16" s="7">
        <v>2</v>
      </c>
      <c r="E16" s="8">
        <v>2500</v>
      </c>
      <c r="F16" s="8">
        <v>3000</v>
      </c>
      <c r="G16" s="9">
        <f t="shared" si="0"/>
        <v>500</v>
      </c>
    </row>
    <row r="17" spans="1:7">
      <c r="A17" s="10">
        <v>44211</v>
      </c>
      <c r="B17" s="7" t="s">
        <v>10</v>
      </c>
      <c r="C17" s="7" t="s">
        <v>15</v>
      </c>
      <c r="D17" s="7">
        <v>16</v>
      </c>
      <c r="E17" s="8">
        <v>555000</v>
      </c>
      <c r="F17" s="8">
        <v>600000</v>
      </c>
      <c r="G17" s="9">
        <f t="shared" si="0"/>
        <v>45000</v>
      </c>
    </row>
    <row r="18" spans="1:7">
      <c r="A18" s="10">
        <v>44212</v>
      </c>
      <c r="B18" s="7" t="s">
        <v>33</v>
      </c>
      <c r="C18" s="7" t="s">
        <v>30</v>
      </c>
      <c r="D18" s="7">
        <v>19</v>
      </c>
      <c r="E18" s="8">
        <v>55000</v>
      </c>
      <c r="F18" s="8">
        <v>60000</v>
      </c>
      <c r="G18" s="9">
        <f t="shared" si="0"/>
        <v>5000</v>
      </c>
    </row>
    <row r="19" spans="1:7">
      <c r="A19" s="10">
        <v>44213</v>
      </c>
      <c r="B19" s="7" t="s">
        <v>8</v>
      </c>
      <c r="C19" s="7" t="s">
        <v>16</v>
      </c>
      <c r="D19" s="7">
        <v>6</v>
      </c>
      <c r="E19" s="8">
        <v>100000</v>
      </c>
      <c r="F19" s="8">
        <v>110000</v>
      </c>
      <c r="G19" s="9">
        <f t="shared" si="0"/>
        <v>10000</v>
      </c>
    </row>
    <row r="20" spans="1:7">
      <c r="A20" s="10">
        <v>44214</v>
      </c>
      <c r="B20" s="7" t="s">
        <v>34</v>
      </c>
      <c r="C20" s="7" t="s">
        <v>19</v>
      </c>
      <c r="D20" s="7">
        <v>10</v>
      </c>
      <c r="E20" s="8">
        <v>150000</v>
      </c>
      <c r="F20" s="8">
        <v>155000</v>
      </c>
      <c r="G20" s="9">
        <f t="shared" si="0"/>
        <v>5000</v>
      </c>
    </row>
    <row r="21" spans="1:7">
      <c r="A21" s="10">
        <v>44215</v>
      </c>
      <c r="B21" s="7" t="s">
        <v>10</v>
      </c>
      <c r="C21" s="7" t="s">
        <v>17</v>
      </c>
      <c r="D21" s="7">
        <v>5</v>
      </c>
      <c r="E21" s="8">
        <v>3500000</v>
      </c>
      <c r="F21" s="8">
        <v>3600000</v>
      </c>
      <c r="G21" s="9">
        <f t="shared" si="0"/>
        <v>100000</v>
      </c>
    </row>
    <row r="22" spans="1:7">
      <c r="A22" s="10">
        <v>44216</v>
      </c>
      <c r="B22" s="7" t="s">
        <v>8</v>
      </c>
      <c r="C22" s="7" t="s">
        <v>18</v>
      </c>
      <c r="D22" s="7">
        <v>2</v>
      </c>
      <c r="E22" s="8">
        <v>2000</v>
      </c>
      <c r="F22" s="8">
        <v>2500</v>
      </c>
      <c r="G22" s="9">
        <f t="shared" si="0"/>
        <v>500</v>
      </c>
    </row>
    <row r="23" spans="1:7">
      <c r="A23" s="10">
        <v>44217</v>
      </c>
      <c r="B23" s="7" t="s">
        <v>35</v>
      </c>
      <c r="C23" s="7" t="s">
        <v>20</v>
      </c>
      <c r="D23" s="7">
        <v>13</v>
      </c>
      <c r="E23" s="8">
        <v>57000</v>
      </c>
      <c r="F23" s="8">
        <v>62000</v>
      </c>
      <c r="G23" s="9">
        <f t="shared" si="0"/>
        <v>5000</v>
      </c>
    </row>
    <row r="24" spans="1:7">
      <c r="A24" s="10">
        <v>44218</v>
      </c>
      <c r="B24" s="7" t="s">
        <v>33</v>
      </c>
      <c r="C24" s="7" t="s">
        <v>30</v>
      </c>
      <c r="D24" s="7">
        <v>9</v>
      </c>
      <c r="E24" s="8">
        <v>76000</v>
      </c>
      <c r="F24" s="8">
        <v>80000</v>
      </c>
      <c r="G24" s="9">
        <f t="shared" si="0"/>
        <v>4000</v>
      </c>
    </row>
    <row r="25" spans="1:7">
      <c r="A25" s="10">
        <v>44219</v>
      </c>
      <c r="B25" s="7" t="s">
        <v>10</v>
      </c>
      <c r="C25" s="7" t="s">
        <v>16</v>
      </c>
      <c r="D25" s="7">
        <v>4</v>
      </c>
      <c r="E25" s="8">
        <v>90500</v>
      </c>
      <c r="F25" s="8">
        <v>100000</v>
      </c>
      <c r="G25" s="9">
        <f t="shared" si="0"/>
        <v>9500</v>
      </c>
    </row>
    <row r="26" spans="1:7">
      <c r="A26" s="10">
        <v>44220</v>
      </c>
      <c r="B26" s="7" t="s">
        <v>8</v>
      </c>
      <c r="C26" s="7" t="s">
        <v>20</v>
      </c>
      <c r="D26" s="7">
        <v>6</v>
      </c>
      <c r="E26" s="8">
        <v>50000</v>
      </c>
      <c r="F26" s="8">
        <v>56000</v>
      </c>
      <c r="G26" s="9">
        <f t="shared" si="0"/>
        <v>6000</v>
      </c>
    </row>
    <row r="27" spans="1:7">
      <c r="A27" s="10">
        <v>44221</v>
      </c>
      <c r="B27" s="7" t="s">
        <v>33</v>
      </c>
      <c r="C27" s="7" t="s">
        <v>18</v>
      </c>
      <c r="D27" s="7">
        <v>1</v>
      </c>
      <c r="E27" s="8">
        <v>2000</v>
      </c>
      <c r="F27" s="8">
        <v>3000</v>
      </c>
      <c r="G27" s="9">
        <f t="shared" si="0"/>
        <v>1000</v>
      </c>
    </row>
    <row r="28" spans="1:7">
      <c r="A28" s="10">
        <v>44222</v>
      </c>
      <c r="B28" s="7" t="s">
        <v>35</v>
      </c>
      <c r="C28" s="7" t="s">
        <v>16</v>
      </c>
      <c r="D28" s="7">
        <v>3</v>
      </c>
      <c r="E28" s="8">
        <v>110000</v>
      </c>
      <c r="F28" s="8">
        <v>120000</v>
      </c>
      <c r="G28" s="9">
        <f t="shared" si="0"/>
        <v>10000</v>
      </c>
    </row>
    <row r="29" spans="1:7">
      <c r="A29" s="10">
        <v>44223</v>
      </c>
      <c r="B29" s="7" t="s">
        <v>34</v>
      </c>
      <c r="C29" s="7" t="s">
        <v>17</v>
      </c>
      <c r="D29" s="7">
        <v>6</v>
      </c>
      <c r="E29" s="8">
        <v>2000000</v>
      </c>
      <c r="F29" s="8">
        <v>2010000</v>
      </c>
      <c r="G29" s="9">
        <f t="shared" si="0"/>
        <v>10000</v>
      </c>
    </row>
    <row r="30" spans="1:7">
      <c r="A30" s="10">
        <v>44224</v>
      </c>
      <c r="B30" s="7" t="s">
        <v>35</v>
      </c>
      <c r="C30" s="7" t="s">
        <v>19</v>
      </c>
      <c r="D30" s="7">
        <v>5</v>
      </c>
      <c r="E30" s="8">
        <v>125000</v>
      </c>
      <c r="F30" s="8">
        <v>130000</v>
      </c>
      <c r="G30" s="9">
        <f t="shared" si="0"/>
        <v>5000</v>
      </c>
    </row>
    <row r="31" spans="1:7">
      <c r="A31" s="10">
        <v>44225</v>
      </c>
      <c r="B31" s="7" t="s">
        <v>32</v>
      </c>
      <c r="C31" s="7" t="s">
        <v>15</v>
      </c>
      <c r="D31" s="7">
        <v>11</v>
      </c>
      <c r="E31" s="8">
        <v>500000</v>
      </c>
      <c r="F31" s="8">
        <v>550000</v>
      </c>
      <c r="G31" s="9">
        <f t="shared" si="0"/>
        <v>50000</v>
      </c>
    </row>
    <row r="32" spans="1:7">
      <c r="A32" s="10">
        <v>44226</v>
      </c>
      <c r="B32" s="7" t="s">
        <v>10</v>
      </c>
      <c r="C32" s="7" t="s">
        <v>17</v>
      </c>
      <c r="D32" s="7">
        <v>7</v>
      </c>
      <c r="E32" s="8">
        <v>1500000</v>
      </c>
      <c r="F32" s="8">
        <v>1800000</v>
      </c>
      <c r="G32" s="9">
        <f t="shared" si="0"/>
        <v>300000</v>
      </c>
    </row>
    <row r="33" spans="1:7">
      <c r="A33" s="11">
        <v>44227</v>
      </c>
      <c r="B33" s="12" t="s">
        <v>10</v>
      </c>
      <c r="C33" s="12" t="s">
        <v>20</v>
      </c>
      <c r="D33" s="12">
        <v>18</v>
      </c>
      <c r="E33" s="13">
        <v>65000</v>
      </c>
      <c r="F33" s="13">
        <v>70000</v>
      </c>
      <c r="G33" s="14">
        <f t="shared" si="0"/>
        <v>5000</v>
      </c>
    </row>
    <row r="34" spans="1:7" ht="15.6">
      <c r="A34" s="11"/>
      <c r="B34" s="12"/>
      <c r="C34" s="15" t="s">
        <v>21</v>
      </c>
      <c r="D34" s="16">
        <f>SUBTOTAL(109,D3:D33)</f>
        <v>279</v>
      </c>
      <c r="E34" s="17">
        <f>SUBTOTAL(109,E3:E33)</f>
        <v>21456998</v>
      </c>
      <c r="F34" s="17">
        <f>SUBTOTAL(109,F3:F33)</f>
        <v>22604498</v>
      </c>
      <c r="G34" s="18">
        <f>SUBTOTAL(109,G3:G33)</f>
        <v>1147500</v>
      </c>
    </row>
  </sheetData>
  <pageMargins left="0.7" right="0.7" top="0.75" bottom="0.75" header="0.3" footer="0.3"/>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3"/>
  <sheetViews>
    <sheetView workbookViewId="0">
      <selection activeCell="E40" sqref="E40"/>
    </sheetView>
  </sheetViews>
  <sheetFormatPr defaultColWidth="9" defaultRowHeight="14.4"/>
  <cols>
    <col min="1" max="1" width="13.44140625" customWidth="1"/>
    <col min="2" max="3" width="15.44140625" customWidth="1"/>
    <col min="4" max="4" width="11.88671875" customWidth="1"/>
    <col min="5" max="5" width="15.5546875" customWidth="1"/>
    <col min="6" max="6" width="15.109375" customWidth="1"/>
    <col min="7" max="7" width="18.33203125" customWidth="1"/>
    <col min="11" max="11" width="9.33203125" customWidth="1"/>
    <col min="12" max="12" width="10" customWidth="1"/>
    <col min="13" max="13" width="23.109375" customWidth="1"/>
  </cols>
  <sheetData>
    <row r="1" spans="1:7" ht="25.8">
      <c r="A1" s="1" t="s">
        <v>22</v>
      </c>
      <c r="B1" s="2"/>
      <c r="C1" s="2"/>
      <c r="D1" s="2"/>
    </row>
    <row r="2" spans="1:7">
      <c r="A2" s="3" t="s">
        <v>23</v>
      </c>
      <c r="B2" s="4" t="s">
        <v>24</v>
      </c>
      <c r="C2" s="4" t="s">
        <v>25</v>
      </c>
      <c r="D2" s="4" t="s">
        <v>26</v>
      </c>
      <c r="E2" s="4" t="s">
        <v>27</v>
      </c>
      <c r="F2" s="4" t="s">
        <v>28</v>
      </c>
      <c r="G2" s="5" t="s">
        <v>29</v>
      </c>
    </row>
    <row r="3" spans="1:7">
      <c r="A3" s="6">
        <v>44197</v>
      </c>
      <c r="B3" s="7" t="s">
        <v>10</v>
      </c>
      <c r="C3" s="7" t="s">
        <v>20</v>
      </c>
      <c r="D3" s="7">
        <v>8</v>
      </c>
      <c r="E3" s="8">
        <v>50000</v>
      </c>
      <c r="F3" s="8">
        <v>65000</v>
      </c>
      <c r="G3" s="9">
        <v>15000</v>
      </c>
    </row>
    <row r="4" spans="1:7">
      <c r="A4" s="10">
        <v>44198</v>
      </c>
      <c r="B4" s="7" t="s">
        <v>8</v>
      </c>
      <c r="C4" s="7" t="s">
        <v>17</v>
      </c>
      <c r="D4" s="7">
        <v>12</v>
      </c>
      <c r="E4" s="8">
        <v>2000000</v>
      </c>
      <c r="F4" s="8">
        <v>2300000</v>
      </c>
      <c r="G4" s="9">
        <v>300000</v>
      </c>
    </row>
    <row r="5" spans="1:7">
      <c r="A5" s="10">
        <v>44199</v>
      </c>
      <c r="B5" s="7" t="s">
        <v>11</v>
      </c>
      <c r="C5" s="7" t="s">
        <v>16</v>
      </c>
      <c r="D5" s="7">
        <v>2</v>
      </c>
      <c r="E5" s="8">
        <v>75000</v>
      </c>
      <c r="F5" s="8">
        <v>80000</v>
      </c>
      <c r="G5" s="9">
        <f>F5-E5</f>
        <v>5000</v>
      </c>
    </row>
    <row r="6" spans="1:7">
      <c r="A6" s="10">
        <v>44200</v>
      </c>
      <c r="B6" s="7" t="s">
        <v>13</v>
      </c>
      <c r="C6" s="7" t="s">
        <v>19</v>
      </c>
      <c r="D6" s="7">
        <v>7</v>
      </c>
      <c r="E6" s="8">
        <v>200000</v>
      </c>
      <c r="F6" s="8">
        <v>250000</v>
      </c>
      <c r="G6" s="9">
        <f t="shared" ref="G6:G33" si="0">F6-E6</f>
        <v>50000</v>
      </c>
    </row>
    <row r="7" spans="1:7">
      <c r="A7" s="10">
        <v>44201</v>
      </c>
      <c r="B7" s="7" t="s">
        <v>7</v>
      </c>
      <c r="C7" s="7" t="s">
        <v>15</v>
      </c>
      <c r="D7" s="7">
        <v>15</v>
      </c>
      <c r="E7" s="8">
        <v>600000</v>
      </c>
      <c r="F7" s="8">
        <v>612999</v>
      </c>
      <c r="G7" s="9">
        <f t="shared" si="0"/>
        <v>12999</v>
      </c>
    </row>
    <row r="8" spans="1:7">
      <c r="A8" s="10">
        <v>44202</v>
      </c>
      <c r="B8" s="7" t="s">
        <v>10</v>
      </c>
      <c r="C8" s="7" t="s">
        <v>30</v>
      </c>
      <c r="D8" s="7">
        <v>20</v>
      </c>
      <c r="E8" s="8">
        <v>50000</v>
      </c>
      <c r="F8" s="8">
        <v>55000</v>
      </c>
      <c r="G8" s="9">
        <f t="shared" si="0"/>
        <v>5000</v>
      </c>
    </row>
    <row r="9" spans="1:7">
      <c r="A9" s="10">
        <v>44203</v>
      </c>
      <c r="B9" s="7" t="s">
        <v>8</v>
      </c>
      <c r="C9" s="7" t="s">
        <v>17</v>
      </c>
      <c r="D9" s="7">
        <v>11</v>
      </c>
      <c r="E9" s="8">
        <v>5999999</v>
      </c>
      <c r="F9" s="8">
        <v>6000000</v>
      </c>
      <c r="G9" s="9">
        <f t="shared" si="0"/>
        <v>1</v>
      </c>
    </row>
    <row r="10" spans="1:7">
      <c r="A10" s="10">
        <v>44204</v>
      </c>
      <c r="B10" s="7" t="s">
        <v>12</v>
      </c>
      <c r="C10" s="7" t="s">
        <v>19</v>
      </c>
      <c r="D10" s="7">
        <v>6</v>
      </c>
      <c r="E10" s="8">
        <v>250000</v>
      </c>
      <c r="F10" s="8">
        <v>275000</v>
      </c>
      <c r="G10" s="9">
        <f t="shared" si="0"/>
        <v>25000</v>
      </c>
    </row>
    <row r="11" spans="1:7">
      <c r="A11" s="10">
        <v>44205</v>
      </c>
      <c r="B11" s="7" t="s">
        <v>9</v>
      </c>
      <c r="C11" s="7" t="s">
        <v>15</v>
      </c>
      <c r="D11" s="7">
        <v>12</v>
      </c>
      <c r="E11" s="8">
        <v>500000</v>
      </c>
      <c r="F11" s="8">
        <v>535000</v>
      </c>
      <c r="G11" s="9">
        <f t="shared" si="0"/>
        <v>35000</v>
      </c>
    </row>
    <row r="12" spans="1:7">
      <c r="A12" s="10">
        <v>44206</v>
      </c>
      <c r="B12" s="7" t="s">
        <v>11</v>
      </c>
      <c r="C12" s="7" t="s">
        <v>20</v>
      </c>
      <c r="D12" s="7">
        <v>9</v>
      </c>
      <c r="E12" s="8">
        <v>85999</v>
      </c>
      <c r="F12" s="8">
        <v>95999</v>
      </c>
      <c r="G12" s="9">
        <f t="shared" si="0"/>
        <v>10000</v>
      </c>
    </row>
    <row r="13" spans="1:7">
      <c r="A13" s="10">
        <v>44207</v>
      </c>
      <c r="B13" s="7" t="s">
        <v>12</v>
      </c>
      <c r="C13" s="7" t="s">
        <v>16</v>
      </c>
      <c r="D13" s="7">
        <v>3</v>
      </c>
      <c r="E13" s="8">
        <v>115500</v>
      </c>
      <c r="F13" s="8">
        <v>118500</v>
      </c>
      <c r="G13" s="9">
        <f t="shared" si="0"/>
        <v>3000</v>
      </c>
    </row>
    <row r="14" spans="1:7">
      <c r="A14" s="10">
        <v>44208</v>
      </c>
      <c r="B14" s="7" t="s">
        <v>10</v>
      </c>
      <c r="C14" s="7" t="s">
        <v>20</v>
      </c>
      <c r="D14" s="7">
        <v>18</v>
      </c>
      <c r="E14" s="8">
        <v>90500</v>
      </c>
      <c r="F14" s="8">
        <v>105500</v>
      </c>
      <c r="G14" s="9">
        <f t="shared" si="0"/>
        <v>15000</v>
      </c>
    </row>
    <row r="15" spans="1:7">
      <c r="A15" s="10">
        <v>44209</v>
      </c>
      <c r="B15" s="7" t="s">
        <v>13</v>
      </c>
      <c r="C15" s="7" t="s">
        <v>17</v>
      </c>
      <c r="D15" s="7">
        <v>13</v>
      </c>
      <c r="E15" s="8">
        <v>2500000</v>
      </c>
      <c r="F15" s="8">
        <v>2600000</v>
      </c>
      <c r="G15" s="9">
        <f t="shared" si="0"/>
        <v>100000</v>
      </c>
    </row>
    <row r="16" spans="1:7">
      <c r="A16" s="10">
        <v>44210</v>
      </c>
      <c r="B16" s="7" t="s">
        <v>10</v>
      </c>
      <c r="C16" s="7" t="s">
        <v>18</v>
      </c>
      <c r="D16" s="7">
        <v>2</v>
      </c>
      <c r="E16" s="8">
        <v>2500</v>
      </c>
      <c r="F16" s="8">
        <v>3000</v>
      </c>
      <c r="G16" s="9">
        <f t="shared" si="0"/>
        <v>500</v>
      </c>
    </row>
    <row r="17" spans="1:7">
      <c r="A17" s="10">
        <v>44211</v>
      </c>
      <c r="B17" s="7" t="s">
        <v>10</v>
      </c>
      <c r="C17" s="7" t="s">
        <v>15</v>
      </c>
      <c r="D17" s="7">
        <v>16</v>
      </c>
      <c r="E17" s="8">
        <v>555000</v>
      </c>
      <c r="F17" s="8">
        <v>600000</v>
      </c>
      <c r="G17" s="9">
        <f t="shared" si="0"/>
        <v>45000</v>
      </c>
    </row>
    <row r="18" spans="1:7">
      <c r="A18" s="10">
        <v>44212</v>
      </c>
      <c r="B18" s="7" t="s">
        <v>11</v>
      </c>
      <c r="C18" s="7" t="s">
        <v>30</v>
      </c>
      <c r="D18" s="7">
        <v>19</v>
      </c>
      <c r="E18" s="8">
        <v>55000</v>
      </c>
      <c r="F18" s="8">
        <v>60000</v>
      </c>
      <c r="G18" s="9">
        <f t="shared" si="0"/>
        <v>5000</v>
      </c>
    </row>
    <row r="19" spans="1:7">
      <c r="A19" s="10">
        <v>44213</v>
      </c>
      <c r="B19" s="7" t="s">
        <v>8</v>
      </c>
      <c r="C19" s="7" t="s">
        <v>16</v>
      </c>
      <c r="D19" s="7">
        <v>6</v>
      </c>
      <c r="E19" s="8">
        <v>100000</v>
      </c>
      <c r="F19" s="8">
        <v>110000</v>
      </c>
      <c r="G19" s="9">
        <f t="shared" si="0"/>
        <v>10000</v>
      </c>
    </row>
    <row r="20" spans="1:7">
      <c r="A20" s="10">
        <v>44214</v>
      </c>
      <c r="B20" s="7" t="s">
        <v>12</v>
      </c>
      <c r="C20" s="7" t="s">
        <v>19</v>
      </c>
      <c r="D20" s="7">
        <v>10</v>
      </c>
      <c r="E20" s="8">
        <v>150000</v>
      </c>
      <c r="F20" s="8">
        <v>155000</v>
      </c>
      <c r="G20" s="9">
        <f t="shared" si="0"/>
        <v>5000</v>
      </c>
    </row>
    <row r="21" spans="1:7">
      <c r="A21" s="10">
        <v>44215</v>
      </c>
      <c r="B21" s="7" t="s">
        <v>10</v>
      </c>
      <c r="C21" s="7" t="s">
        <v>17</v>
      </c>
      <c r="D21" s="7">
        <v>5</v>
      </c>
      <c r="E21" s="8">
        <v>3500000</v>
      </c>
      <c r="F21" s="8">
        <v>3600000</v>
      </c>
      <c r="G21" s="9">
        <f t="shared" si="0"/>
        <v>100000</v>
      </c>
    </row>
    <row r="22" spans="1:7">
      <c r="A22" s="10">
        <v>44216</v>
      </c>
      <c r="B22" s="7" t="s">
        <v>8</v>
      </c>
      <c r="C22" s="7" t="s">
        <v>18</v>
      </c>
      <c r="D22" s="7">
        <v>2</v>
      </c>
      <c r="E22" s="8">
        <v>2000</v>
      </c>
      <c r="F22" s="8">
        <v>2500</v>
      </c>
      <c r="G22" s="9">
        <f t="shared" si="0"/>
        <v>500</v>
      </c>
    </row>
    <row r="23" spans="1:7">
      <c r="A23" s="10">
        <v>44217</v>
      </c>
      <c r="B23" s="7" t="s">
        <v>9</v>
      </c>
      <c r="C23" s="7" t="s">
        <v>20</v>
      </c>
      <c r="D23" s="7">
        <v>13</v>
      </c>
      <c r="E23" s="8">
        <v>57000</v>
      </c>
      <c r="F23" s="8">
        <v>62000</v>
      </c>
      <c r="G23" s="9">
        <f t="shared" si="0"/>
        <v>5000</v>
      </c>
    </row>
    <row r="24" spans="1:7">
      <c r="A24" s="10">
        <v>44218</v>
      </c>
      <c r="B24" s="7" t="s">
        <v>11</v>
      </c>
      <c r="C24" s="7" t="s">
        <v>30</v>
      </c>
      <c r="D24" s="7">
        <v>9</v>
      </c>
      <c r="E24" s="8">
        <v>76000</v>
      </c>
      <c r="F24" s="8">
        <v>80000</v>
      </c>
      <c r="G24" s="9">
        <f t="shared" si="0"/>
        <v>4000</v>
      </c>
    </row>
    <row r="25" spans="1:7">
      <c r="A25" s="10">
        <v>44219</v>
      </c>
      <c r="B25" s="7" t="s">
        <v>10</v>
      </c>
      <c r="C25" s="7" t="s">
        <v>16</v>
      </c>
      <c r="D25" s="7">
        <v>4</v>
      </c>
      <c r="E25" s="8">
        <v>90500</v>
      </c>
      <c r="F25" s="8">
        <v>100000</v>
      </c>
      <c r="G25" s="9">
        <f t="shared" si="0"/>
        <v>9500</v>
      </c>
    </row>
    <row r="26" spans="1:7">
      <c r="A26" s="10">
        <v>44220</v>
      </c>
      <c r="B26" s="7" t="s">
        <v>8</v>
      </c>
      <c r="C26" s="7" t="s">
        <v>20</v>
      </c>
      <c r="D26" s="7">
        <v>6</v>
      </c>
      <c r="E26" s="8">
        <v>50000</v>
      </c>
      <c r="F26" s="8">
        <v>56000</v>
      </c>
      <c r="G26" s="9">
        <f t="shared" si="0"/>
        <v>6000</v>
      </c>
    </row>
    <row r="27" spans="1:7">
      <c r="A27" s="10">
        <v>44221</v>
      </c>
      <c r="B27" s="7" t="s">
        <v>11</v>
      </c>
      <c r="C27" s="7" t="s">
        <v>18</v>
      </c>
      <c r="D27" s="7">
        <v>1</v>
      </c>
      <c r="E27" s="8">
        <v>2000</v>
      </c>
      <c r="F27" s="8">
        <v>3000</v>
      </c>
      <c r="G27" s="9">
        <f t="shared" si="0"/>
        <v>1000</v>
      </c>
    </row>
    <row r="28" spans="1:7">
      <c r="A28" s="10">
        <v>44222</v>
      </c>
      <c r="B28" s="7" t="s">
        <v>9</v>
      </c>
      <c r="C28" s="7" t="s">
        <v>16</v>
      </c>
      <c r="D28" s="7">
        <v>3</v>
      </c>
      <c r="E28" s="8">
        <v>110000</v>
      </c>
      <c r="F28" s="8">
        <v>120000</v>
      </c>
      <c r="G28" s="9">
        <f t="shared" si="0"/>
        <v>10000</v>
      </c>
    </row>
    <row r="29" spans="1:7">
      <c r="A29" s="10">
        <v>44223</v>
      </c>
      <c r="B29" s="7" t="s">
        <v>12</v>
      </c>
      <c r="C29" s="7" t="s">
        <v>17</v>
      </c>
      <c r="D29" s="7">
        <v>6</v>
      </c>
      <c r="E29" s="8">
        <v>2000000</v>
      </c>
      <c r="F29" s="8">
        <v>2010000</v>
      </c>
      <c r="G29" s="9">
        <f t="shared" si="0"/>
        <v>10000</v>
      </c>
    </row>
    <row r="30" spans="1:7">
      <c r="A30" s="10">
        <v>44224</v>
      </c>
      <c r="B30" s="7" t="s">
        <v>9</v>
      </c>
      <c r="C30" s="7" t="s">
        <v>19</v>
      </c>
      <c r="D30" s="7">
        <v>5</v>
      </c>
      <c r="E30" s="8">
        <v>125000</v>
      </c>
      <c r="F30" s="8">
        <v>130000</v>
      </c>
      <c r="G30" s="9">
        <f t="shared" si="0"/>
        <v>5000</v>
      </c>
    </row>
    <row r="31" spans="1:7">
      <c r="A31" s="10">
        <v>44225</v>
      </c>
      <c r="B31" s="7" t="s">
        <v>13</v>
      </c>
      <c r="C31" s="7" t="s">
        <v>15</v>
      </c>
      <c r="D31" s="7">
        <v>11</v>
      </c>
      <c r="E31" s="8">
        <v>500000</v>
      </c>
      <c r="F31" s="8">
        <v>550000</v>
      </c>
      <c r="G31" s="9">
        <f t="shared" si="0"/>
        <v>50000</v>
      </c>
    </row>
    <row r="32" spans="1:7">
      <c r="A32" s="10">
        <v>44226</v>
      </c>
      <c r="B32" s="7" t="s">
        <v>10</v>
      </c>
      <c r="C32" s="7" t="s">
        <v>17</v>
      </c>
      <c r="D32" s="7">
        <v>7</v>
      </c>
      <c r="E32" s="8">
        <v>1500000</v>
      </c>
      <c r="F32" s="8">
        <v>1800000</v>
      </c>
      <c r="G32" s="9">
        <f t="shared" si="0"/>
        <v>300000</v>
      </c>
    </row>
    <row r="33" spans="1:7">
      <c r="A33" s="11">
        <v>44227</v>
      </c>
      <c r="B33" s="12" t="s">
        <v>10</v>
      </c>
      <c r="C33" s="12" t="s">
        <v>20</v>
      </c>
      <c r="D33" s="12">
        <v>18</v>
      </c>
      <c r="E33" s="13">
        <v>65000</v>
      </c>
      <c r="F33" s="13">
        <v>70000</v>
      </c>
      <c r="G33" s="14">
        <f t="shared" si="0"/>
        <v>5000</v>
      </c>
    </row>
  </sheetData>
  <conditionalFormatting sqref="A2:G33">
    <cfRule type="top10" dxfId="2" priority="1" percent="1" bottom="1" rank="10"/>
    <cfRule type="top10" dxfId="1" priority="2" rank="10"/>
    <cfRule type="dataBar" priority="3">
      <dataBar>
        <cfvo type="min"/>
        <cfvo type="max"/>
        <color rgb="FF008AEF"/>
      </dataBar>
      <extLst>
        <ext xmlns:x14="http://schemas.microsoft.com/office/spreadsheetml/2009/9/main" uri="{B025F937-C7B1-47D3-B67F-A62EFF666E3E}">
          <x14:id>{1F0BFA2A-0FAC-4149-84FA-29BBD55839AF}</x14:id>
        </ext>
      </extLst>
    </cfRule>
    <cfRule type="cellIs" dxfId="0" priority="4" operator="greaterThan">
      <formula>3000000.5</formula>
    </cfRule>
  </conditionalFormatting>
  <conditionalFormatting sqref="C1:C1048576">
    <cfRule type="dataBar" priority="5">
      <dataBar>
        <cfvo type="min"/>
        <cfvo type="max"/>
        <color rgb="FF638EC6"/>
      </dataBar>
      <extLst>
        <ext xmlns:x14="http://schemas.microsoft.com/office/spreadsheetml/2009/9/main" uri="{B025F937-C7B1-47D3-B67F-A62EFF666E3E}">
          <x14:id>{EBF2442E-C6A2-4A05-A281-01104DC51C40}</x14:id>
        </ext>
      </extLst>
    </cfRule>
  </conditionalFormatting>
  <conditionalFormatting sqref="K8">
    <cfRule type="dataBar" priority="6">
      <dataBar>
        <cfvo type="min"/>
        <cfvo type="max"/>
        <color rgb="FF638EC6"/>
      </dataBar>
      <extLst>
        <ext xmlns:x14="http://schemas.microsoft.com/office/spreadsheetml/2009/9/main" uri="{B025F937-C7B1-47D3-B67F-A62EFF666E3E}">
          <x14:id>{0DBA540C-C937-470F-9329-1688CF16114E}</x14:id>
        </ext>
      </extLst>
    </cfRule>
  </conditionalFormatting>
  <pageMargins left="0.7" right="0.7" top="0.75" bottom="0.75" header="0.3" footer="0.3"/>
  <pageSetup paperSize="9" orientation="portrait"/>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F0BFA2A-0FAC-4149-84FA-29BBD55839AF}">
            <x14:dataBar minLength="0" maxLength="100" border="1" negativeBarBorderColorSameAsPositive="0">
              <x14:cfvo type="autoMin"/>
              <x14:cfvo type="autoMax"/>
              <x14:borderColor rgb="FF008AEF"/>
              <x14:negativeFillColor rgb="FFFF0000"/>
              <x14:negativeBorderColor rgb="FFFF0000"/>
              <x14:axisColor rgb="FF000000"/>
            </x14:dataBar>
          </x14:cfRule>
          <xm:sqref>A2:G33</xm:sqref>
        </x14:conditionalFormatting>
        <x14:conditionalFormatting xmlns:xm="http://schemas.microsoft.com/office/excel/2006/main">
          <x14:cfRule type="dataBar" id="{EBF2442E-C6A2-4A05-A281-01104DC51C40}">
            <x14:dataBar minLength="0" maxLength="100" gradient="0">
              <x14:cfvo type="autoMin"/>
              <x14:cfvo type="autoMax"/>
              <x14:negativeFillColor rgb="FFFF0000"/>
              <x14:axisColor rgb="FF000000"/>
            </x14:dataBar>
          </x14:cfRule>
          <xm:sqref>C1:C1048576</xm:sqref>
        </x14:conditionalFormatting>
        <x14:conditionalFormatting xmlns:xm="http://schemas.microsoft.com/office/excel/2006/main">
          <x14:cfRule type="dataBar" id="{0DBA540C-C937-470F-9329-1688CF16114E}">
            <x14:dataBar minLength="0" maxLength="100" border="1" negativeBarBorderColorSameAsPositive="0">
              <x14:cfvo type="autoMin"/>
              <x14:cfvo type="autoMax"/>
              <x14:borderColor rgb="FF638EC6"/>
              <x14:negativeFillColor rgb="FFFF0000"/>
              <x14:negativeBorderColor rgb="FFFF0000"/>
              <x14:axisColor rgb="FF000000"/>
            </x14:dataBar>
          </x14:cfRule>
          <xm:sqref>K8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
  <sheetViews>
    <sheetView workbookViewId="0">
      <selection activeCell="P14" sqref="P14"/>
    </sheetView>
  </sheetViews>
  <sheetFormatPr defaultColWidth="9" defaultRowHeight="14.4"/>
  <sheetData>
    <row r="1" spans="1:14">
      <c r="A1" s="25"/>
      <c r="B1" s="25"/>
      <c r="C1" s="25"/>
      <c r="D1" s="25"/>
      <c r="E1" s="25"/>
      <c r="F1" s="25"/>
      <c r="G1" s="25"/>
      <c r="H1" s="25"/>
      <c r="I1" s="25"/>
      <c r="J1" s="25"/>
      <c r="K1" s="25"/>
      <c r="L1" s="25"/>
      <c r="M1" s="25"/>
      <c r="N1" s="25"/>
    </row>
    <row r="2" spans="1:14" ht="46.2">
      <c r="A2" s="25"/>
      <c r="B2" s="25"/>
      <c r="C2" s="25"/>
      <c r="D2" s="25"/>
      <c r="E2" s="27" t="s">
        <v>31</v>
      </c>
      <c r="F2" s="27"/>
      <c r="G2" s="27"/>
      <c r="H2" s="27"/>
      <c r="I2" s="27"/>
      <c r="J2" s="27"/>
      <c r="K2" s="27"/>
      <c r="L2" s="27"/>
      <c r="M2" s="25"/>
      <c r="N2" s="25"/>
    </row>
    <row r="3" spans="1:14">
      <c r="A3" s="25"/>
      <c r="B3" s="25"/>
      <c r="C3" s="25"/>
      <c r="D3" s="25"/>
      <c r="E3" s="25"/>
      <c r="F3" s="25"/>
      <c r="G3" s="25"/>
      <c r="H3" s="25"/>
      <c r="I3" s="25"/>
      <c r="J3" s="25"/>
      <c r="K3" s="25"/>
      <c r="L3" s="25"/>
      <c r="M3" s="25"/>
      <c r="N3" s="25"/>
    </row>
  </sheetData>
  <mergeCells count="1">
    <mergeCell ref="E2:L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PIVOT 2</vt:lpstr>
      <vt:lpstr>Sales Reports</vt:lpstr>
      <vt:lpstr>Conditional Formating</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 SAMANTHA</dc:creator>
  <cp:lastModifiedBy>Twins Travel</cp:lastModifiedBy>
  <dcterms:created xsi:type="dcterms:W3CDTF">2025-08-29T14:18:00Z</dcterms:created>
  <dcterms:modified xsi:type="dcterms:W3CDTF">2026-04-01T13:25:20Z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CA6A0AE70FC340C0AFAD50E28E58DF11_13</vt:lpwstr>
  </property>
  <property fmtid="{D5CDD505-2E9C-101B-9397-08002B2CF9AE}" pid="3" name="KSOProductBuildVer">
    <vt:lpwstr>1036-12.2.0.22549</vt:lpwstr>
  </property>
</Properties>
</file>